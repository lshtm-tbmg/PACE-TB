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har\Documents\Work\2024- LSHTM\2024- NIH2 TBMod project\Economics\Analysis coding\CEA 2 coding (R)\GitHub\outputs\original_80\"/>
    </mc:Choice>
  </mc:AlternateContent>
  <xr:revisionPtr revIDLastSave="0" documentId="13_ncr:1_{75D15FFF-BE40-44F6-B054-6F16EF58E94A}" xr6:coauthVersionLast="47" xr6:coauthVersionMax="47" xr10:uidLastSave="{00000000-0000-0000-0000-000000000000}"/>
  <bookViews>
    <workbookView xWindow="3156" yWindow="-14724" windowWidth="21600" windowHeight="11304" xr2:uid="{272D407C-858F-4750-A7F3-F113A4AC0DD7}"/>
  </bookViews>
  <sheets>
    <sheet name="VALUES" sheetId="6" r:id="rId1"/>
    <sheet name="LE_BRA" sheetId="15" r:id="rId2"/>
    <sheet name="LE_IND" sheetId="16" r:id="rId3"/>
    <sheet name="LE_ZAF" sheetId="17" r:id="rId4"/>
  </sheets>
  <definedNames>
    <definedName name="BRA_cet_high">VALUES!$D$19</definedName>
    <definedName name="BRA_cet_low">VALUES!$D$18</definedName>
    <definedName name="BRA_disc">VALUES!$D$23</definedName>
    <definedName name="BRA_disc_factor">VALUES!$D$24</definedName>
    <definedName name="disc">VALUES!$G$23</definedName>
    <definedName name="disc_factor">VALUES!$G$24</definedName>
    <definedName name="IND_cet_high">VALUES!$E$19</definedName>
    <definedName name="IND_cet_low">VALUES!$E$18</definedName>
    <definedName name="IND_disc">VALUES!$E$23</definedName>
    <definedName name="IND_disc_factor">VALUES!$E$24</definedName>
    <definedName name="ZAF_cet_high">VALUES!$F$19</definedName>
    <definedName name="ZAF_cet_low">VALUES!$F$18</definedName>
    <definedName name="ZAF_disc">VALUES!$F$23</definedName>
    <definedName name="ZAF_disc_factor">VALUES!$F$24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6" l="1"/>
  <c r="C20" i="15"/>
  <c r="C36" i="15"/>
  <c r="J67" i="6" l="1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N64" i="6"/>
  <c r="N55" i="6"/>
  <c r="E67" i="6"/>
  <c r="O67" i="6" s="1"/>
  <c r="E66" i="6"/>
  <c r="O66" i="6" s="1"/>
  <c r="E65" i="6"/>
  <c r="O65" i="6" s="1"/>
  <c r="E64" i="6"/>
  <c r="O64" i="6" s="1"/>
  <c r="E63" i="6"/>
  <c r="O63" i="6" s="1"/>
  <c r="E62" i="6"/>
  <c r="O62" i="6" s="1"/>
  <c r="E61" i="6"/>
  <c r="O61" i="6" s="1"/>
  <c r="E60" i="6"/>
  <c r="O60" i="6" s="1"/>
  <c r="E59" i="6"/>
  <c r="O59" i="6" s="1"/>
  <c r="E58" i="6"/>
  <c r="O58" i="6" s="1"/>
  <c r="E57" i="6"/>
  <c r="O57" i="6" s="1"/>
  <c r="E56" i="6"/>
  <c r="E55" i="6"/>
  <c r="E54" i="6"/>
  <c r="O54" i="6" s="1"/>
  <c r="E53" i="6"/>
  <c r="O53" i="6" s="1"/>
  <c r="E52" i="6"/>
  <c r="O52" i="6" s="1"/>
  <c r="D67" i="6"/>
  <c r="N67" i="6" s="1"/>
  <c r="D66" i="6"/>
  <c r="N66" i="6" s="1"/>
  <c r="D65" i="6"/>
  <c r="N65" i="6" s="1"/>
  <c r="D64" i="6"/>
  <c r="D63" i="6"/>
  <c r="D62" i="6"/>
  <c r="D61" i="6"/>
  <c r="N61" i="6" s="1"/>
  <c r="D60" i="6"/>
  <c r="N60" i="6" s="1"/>
  <c r="D59" i="6"/>
  <c r="N59" i="6" s="1"/>
  <c r="D58" i="6"/>
  <c r="N58" i="6" s="1"/>
  <c r="D57" i="6"/>
  <c r="D56" i="6"/>
  <c r="D55" i="6"/>
  <c r="D54" i="6"/>
  <c r="D53" i="6"/>
  <c r="D52" i="6"/>
  <c r="N54" i="6" l="1"/>
  <c r="N53" i="6"/>
  <c r="N52" i="6"/>
  <c r="O55" i="6"/>
  <c r="O56" i="6"/>
  <c r="N62" i="6"/>
  <c r="N56" i="6"/>
  <c r="N57" i="6"/>
  <c r="N63" i="6"/>
  <c r="H67" i="6" l="1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M52" i="6" l="1"/>
  <c r="D13" i="6" l="1"/>
  <c r="F14" i="6"/>
  <c r="E14" i="6"/>
  <c r="D14" i="6"/>
  <c r="M67" i="6" l="1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AD403" i="16" l="1"/>
  <c r="I451" i="6" s="1"/>
  <c r="AD399" i="17"/>
  <c r="J447" i="6" s="1"/>
  <c r="AD393" i="17"/>
  <c r="J441" i="6" s="1"/>
  <c r="AD387" i="17"/>
  <c r="J435" i="6" s="1"/>
  <c r="AD381" i="17"/>
  <c r="J429" i="6" s="1"/>
  <c r="AD375" i="17"/>
  <c r="J423" i="6" s="1"/>
  <c r="AD369" i="17"/>
  <c r="J417" i="6" s="1"/>
  <c r="AD363" i="17"/>
  <c r="J411" i="6" s="1"/>
  <c r="AD357" i="17"/>
  <c r="J405" i="6" s="1"/>
  <c r="AD351" i="17"/>
  <c r="J399" i="6" s="1"/>
  <c r="AD345" i="17"/>
  <c r="J393" i="6" s="1"/>
  <c r="AD339" i="17"/>
  <c r="J387" i="6" s="1"/>
  <c r="AD333" i="17"/>
  <c r="J381" i="6" s="1"/>
  <c r="AD327" i="17"/>
  <c r="J375" i="6" s="1"/>
  <c r="AD321" i="17"/>
  <c r="J369" i="6" s="1"/>
  <c r="AD315" i="17"/>
  <c r="J363" i="6" s="1"/>
  <c r="AD309" i="17"/>
  <c r="J357" i="6" s="1"/>
  <c r="AD303" i="17"/>
  <c r="J351" i="6" s="1"/>
  <c r="AD297" i="17"/>
  <c r="J345" i="6" s="1"/>
  <c r="AD398" i="17"/>
  <c r="J446" i="6" s="1"/>
  <c r="AD392" i="17"/>
  <c r="J440" i="6" s="1"/>
  <c r="AD386" i="17"/>
  <c r="J434" i="6" s="1"/>
  <c r="AD380" i="17"/>
  <c r="J428" i="6" s="1"/>
  <c r="AD374" i="17"/>
  <c r="J422" i="6" s="1"/>
  <c r="AD368" i="17"/>
  <c r="J416" i="6" s="1"/>
  <c r="AD362" i="17"/>
  <c r="J410" i="6" s="1"/>
  <c r="AD356" i="17"/>
  <c r="J404" i="6" s="1"/>
  <c r="AD350" i="17"/>
  <c r="J398" i="6" s="1"/>
  <c r="AD344" i="17"/>
  <c r="J392" i="6" s="1"/>
  <c r="AD338" i="17"/>
  <c r="J386" i="6" s="1"/>
  <c r="AD332" i="17"/>
  <c r="J380" i="6" s="1"/>
  <c r="AD326" i="17"/>
  <c r="J374" i="6" s="1"/>
  <c r="AD320" i="17"/>
  <c r="J368" i="6" s="1"/>
  <c r="AD314" i="17"/>
  <c r="J362" i="6" s="1"/>
  <c r="AD308" i="17"/>
  <c r="J356" i="6" s="1"/>
  <c r="AD302" i="17"/>
  <c r="J350" i="6" s="1"/>
  <c r="AD403" i="17"/>
  <c r="J451" i="6" s="1"/>
  <c r="AD397" i="17"/>
  <c r="J445" i="6" s="1"/>
  <c r="AD391" i="17"/>
  <c r="J439" i="6" s="1"/>
  <c r="AD385" i="17"/>
  <c r="J433" i="6" s="1"/>
  <c r="AD379" i="17"/>
  <c r="J427" i="6" s="1"/>
  <c r="AD373" i="17"/>
  <c r="J421" i="6" s="1"/>
  <c r="AD367" i="17"/>
  <c r="J415" i="6" s="1"/>
  <c r="AD361" i="17"/>
  <c r="J409" i="6" s="1"/>
  <c r="AD355" i="17"/>
  <c r="J403" i="6" s="1"/>
  <c r="AD349" i="17"/>
  <c r="J397" i="6" s="1"/>
  <c r="AD343" i="17"/>
  <c r="J391" i="6" s="1"/>
  <c r="AD337" i="17"/>
  <c r="J385" i="6" s="1"/>
  <c r="AD331" i="17"/>
  <c r="J379" i="6" s="1"/>
  <c r="AD325" i="17"/>
  <c r="J373" i="6" s="1"/>
  <c r="AD319" i="17"/>
  <c r="J367" i="6" s="1"/>
  <c r="AD313" i="17"/>
  <c r="J361" i="6" s="1"/>
  <c r="AD307" i="17"/>
  <c r="J355" i="6" s="1"/>
  <c r="AD402" i="17"/>
  <c r="J450" i="6" s="1"/>
  <c r="AD396" i="17"/>
  <c r="J444" i="6" s="1"/>
  <c r="AD390" i="17"/>
  <c r="J438" i="6" s="1"/>
  <c r="AD384" i="17"/>
  <c r="J432" i="6" s="1"/>
  <c r="AD378" i="17"/>
  <c r="J426" i="6" s="1"/>
  <c r="AD372" i="17"/>
  <c r="J420" i="6" s="1"/>
  <c r="AD366" i="17"/>
  <c r="J414" i="6" s="1"/>
  <c r="AD360" i="17"/>
  <c r="J408" i="6" s="1"/>
  <c r="AD354" i="17"/>
  <c r="J402" i="6" s="1"/>
  <c r="AD348" i="17"/>
  <c r="J396" i="6" s="1"/>
  <c r="AD342" i="17"/>
  <c r="J390" i="6" s="1"/>
  <c r="AD336" i="17"/>
  <c r="J384" i="6" s="1"/>
  <c r="AD330" i="17"/>
  <c r="J378" i="6" s="1"/>
  <c r="AD324" i="17"/>
  <c r="J372" i="6" s="1"/>
  <c r="AD318" i="17"/>
  <c r="J366" i="6" s="1"/>
  <c r="AD312" i="17"/>
  <c r="J360" i="6" s="1"/>
  <c r="AD306" i="17"/>
  <c r="J354" i="6" s="1"/>
  <c r="AD300" i="17"/>
  <c r="J348" i="6" s="1"/>
  <c r="AD401" i="17"/>
  <c r="J449" i="6" s="1"/>
  <c r="AD395" i="17"/>
  <c r="J443" i="6" s="1"/>
  <c r="AD389" i="17"/>
  <c r="J437" i="6" s="1"/>
  <c r="AD383" i="17"/>
  <c r="J431" i="6" s="1"/>
  <c r="AD377" i="17"/>
  <c r="J425" i="6" s="1"/>
  <c r="AD371" i="17"/>
  <c r="J419" i="6" s="1"/>
  <c r="AD365" i="17"/>
  <c r="J413" i="6" s="1"/>
  <c r="AD359" i="17"/>
  <c r="J407" i="6" s="1"/>
  <c r="AD353" i="17"/>
  <c r="J401" i="6" s="1"/>
  <c r="AD347" i="17"/>
  <c r="J395" i="6" s="1"/>
  <c r="AD341" i="17"/>
  <c r="J389" i="6" s="1"/>
  <c r="AD335" i="17"/>
  <c r="J383" i="6" s="1"/>
  <c r="AD329" i="17"/>
  <c r="J377" i="6" s="1"/>
  <c r="AD323" i="17"/>
  <c r="J371" i="6" s="1"/>
  <c r="AD317" i="17"/>
  <c r="J365" i="6" s="1"/>
  <c r="AD311" i="17"/>
  <c r="J359" i="6" s="1"/>
  <c r="AD305" i="17"/>
  <c r="J353" i="6" s="1"/>
  <c r="AD299" i="17"/>
  <c r="J347" i="6" s="1"/>
  <c r="AD293" i="17"/>
  <c r="J341" i="6" s="1"/>
  <c r="AD287" i="17"/>
  <c r="J335" i="6" s="1"/>
  <c r="AD400" i="17"/>
  <c r="J448" i="6" s="1"/>
  <c r="AD394" i="17"/>
  <c r="J442" i="6" s="1"/>
  <c r="AD388" i="17"/>
  <c r="J436" i="6" s="1"/>
  <c r="AD382" i="17"/>
  <c r="J430" i="6" s="1"/>
  <c r="AD376" i="17"/>
  <c r="J424" i="6" s="1"/>
  <c r="AD370" i="17"/>
  <c r="J418" i="6" s="1"/>
  <c r="AD364" i="17"/>
  <c r="J412" i="6" s="1"/>
  <c r="AD358" i="17"/>
  <c r="J406" i="6" s="1"/>
  <c r="AD352" i="17"/>
  <c r="J400" i="6" s="1"/>
  <c r="AD346" i="17"/>
  <c r="J394" i="6" s="1"/>
  <c r="AD340" i="17"/>
  <c r="J388" i="6" s="1"/>
  <c r="AD334" i="17"/>
  <c r="J382" i="6" s="1"/>
  <c r="AD328" i="17"/>
  <c r="J376" i="6" s="1"/>
  <c r="AD322" i="17"/>
  <c r="J370" i="6" s="1"/>
  <c r="AD316" i="17"/>
  <c r="J364" i="6" s="1"/>
  <c r="AD310" i="17"/>
  <c r="J358" i="6" s="1"/>
  <c r="AD304" i="17"/>
  <c r="J352" i="6" s="1"/>
  <c r="AD298" i="17"/>
  <c r="J346" i="6" s="1"/>
  <c r="AD292" i="17"/>
  <c r="J340" i="6" s="1"/>
  <c r="AD294" i="17"/>
  <c r="J342" i="6" s="1"/>
  <c r="AD285" i="17"/>
  <c r="J333" i="6" s="1"/>
  <c r="AD279" i="17"/>
  <c r="J327" i="6" s="1"/>
  <c r="AD273" i="17"/>
  <c r="J321" i="6" s="1"/>
  <c r="AD267" i="17"/>
  <c r="J315" i="6" s="1"/>
  <c r="AD261" i="17"/>
  <c r="J309" i="6" s="1"/>
  <c r="AD255" i="17"/>
  <c r="J303" i="6" s="1"/>
  <c r="AD249" i="17"/>
  <c r="J297" i="6" s="1"/>
  <c r="AD243" i="17"/>
  <c r="J291" i="6" s="1"/>
  <c r="AD237" i="17"/>
  <c r="J285" i="6" s="1"/>
  <c r="AD231" i="17"/>
  <c r="J279" i="6" s="1"/>
  <c r="AD225" i="17"/>
  <c r="J273" i="6" s="1"/>
  <c r="AD219" i="17"/>
  <c r="J267" i="6" s="1"/>
  <c r="AD213" i="17"/>
  <c r="J261" i="6" s="1"/>
  <c r="AD207" i="17"/>
  <c r="J255" i="6" s="1"/>
  <c r="AD201" i="17"/>
  <c r="J249" i="6" s="1"/>
  <c r="AD195" i="17"/>
  <c r="J243" i="6" s="1"/>
  <c r="AD189" i="17"/>
  <c r="J237" i="6" s="1"/>
  <c r="AD183" i="17"/>
  <c r="J231" i="6" s="1"/>
  <c r="AD177" i="17"/>
  <c r="J225" i="6" s="1"/>
  <c r="AD171" i="17"/>
  <c r="J219" i="6" s="1"/>
  <c r="AD165" i="17"/>
  <c r="J213" i="6" s="1"/>
  <c r="AD159" i="17"/>
  <c r="J207" i="6" s="1"/>
  <c r="AD153" i="17"/>
  <c r="J201" i="6" s="1"/>
  <c r="AD147" i="17"/>
  <c r="J195" i="6" s="1"/>
  <c r="AD141" i="17"/>
  <c r="J189" i="6" s="1"/>
  <c r="AD135" i="17"/>
  <c r="J183" i="6" s="1"/>
  <c r="AD129" i="17"/>
  <c r="J177" i="6" s="1"/>
  <c r="AD123" i="17"/>
  <c r="J171" i="6" s="1"/>
  <c r="AD117" i="17"/>
  <c r="J165" i="6" s="1"/>
  <c r="AD111" i="17"/>
  <c r="J159" i="6" s="1"/>
  <c r="AD105" i="17"/>
  <c r="J153" i="6" s="1"/>
  <c r="AD99" i="17"/>
  <c r="J147" i="6" s="1"/>
  <c r="AD93" i="17"/>
  <c r="J141" i="6" s="1"/>
  <c r="AD87" i="17"/>
  <c r="J135" i="6" s="1"/>
  <c r="AD81" i="17"/>
  <c r="J129" i="6" s="1"/>
  <c r="AD75" i="17"/>
  <c r="J123" i="6" s="1"/>
  <c r="AD69" i="17"/>
  <c r="J117" i="6" s="1"/>
  <c r="AD63" i="17"/>
  <c r="J111" i="6" s="1"/>
  <c r="AD57" i="17"/>
  <c r="J105" i="6" s="1"/>
  <c r="AD51" i="17"/>
  <c r="J99" i="6" s="1"/>
  <c r="AD45" i="17"/>
  <c r="J93" i="6" s="1"/>
  <c r="AD39" i="17"/>
  <c r="J87" i="6" s="1"/>
  <c r="AD33" i="17"/>
  <c r="J81" i="6" s="1"/>
  <c r="AD27" i="17"/>
  <c r="J75" i="6" s="1"/>
  <c r="AD21" i="17"/>
  <c r="J69" i="6" s="1"/>
  <c r="C399" i="17"/>
  <c r="E447" i="6" s="1"/>
  <c r="C393" i="17"/>
  <c r="E441" i="6" s="1"/>
  <c r="C387" i="17"/>
  <c r="E435" i="6" s="1"/>
  <c r="O435" i="6" s="1"/>
  <c r="C381" i="17"/>
  <c r="E429" i="6" s="1"/>
  <c r="C375" i="17"/>
  <c r="E423" i="6" s="1"/>
  <c r="O423" i="6" s="1"/>
  <c r="C369" i="17"/>
  <c r="E417" i="6" s="1"/>
  <c r="C363" i="17"/>
  <c r="E411" i="6" s="1"/>
  <c r="C357" i="17"/>
  <c r="E405" i="6" s="1"/>
  <c r="C351" i="17"/>
  <c r="E399" i="6" s="1"/>
  <c r="O399" i="6" s="1"/>
  <c r="C345" i="17"/>
  <c r="E393" i="6" s="1"/>
  <c r="C339" i="17"/>
  <c r="E387" i="6" s="1"/>
  <c r="O387" i="6" s="1"/>
  <c r="C333" i="17"/>
  <c r="E381" i="6" s="1"/>
  <c r="C327" i="17"/>
  <c r="E375" i="6" s="1"/>
  <c r="C321" i="17"/>
  <c r="E369" i="6" s="1"/>
  <c r="C315" i="17"/>
  <c r="E363" i="6" s="1"/>
  <c r="O363" i="6" s="1"/>
  <c r="C309" i="17"/>
  <c r="E357" i="6" s="1"/>
  <c r="C303" i="17"/>
  <c r="E351" i="6" s="1"/>
  <c r="O351" i="6" s="1"/>
  <c r="C297" i="17"/>
  <c r="E345" i="6" s="1"/>
  <c r="C291" i="17"/>
  <c r="E339" i="6" s="1"/>
  <c r="C285" i="17"/>
  <c r="E333" i="6" s="1"/>
  <c r="C279" i="17"/>
  <c r="E327" i="6" s="1"/>
  <c r="O327" i="6" s="1"/>
  <c r="C273" i="17"/>
  <c r="E321" i="6" s="1"/>
  <c r="C267" i="17"/>
  <c r="E315" i="6" s="1"/>
  <c r="C261" i="17"/>
  <c r="E309" i="6" s="1"/>
  <c r="C255" i="17"/>
  <c r="E303" i="6" s="1"/>
  <c r="C249" i="17"/>
  <c r="E297" i="6" s="1"/>
  <c r="O297" i="6" s="1"/>
  <c r="C243" i="17"/>
  <c r="E291" i="6" s="1"/>
  <c r="O291" i="6" s="1"/>
  <c r="C237" i="17"/>
  <c r="E285" i="6" s="1"/>
  <c r="C231" i="17"/>
  <c r="E279" i="6" s="1"/>
  <c r="C225" i="17"/>
  <c r="E273" i="6" s="1"/>
  <c r="C219" i="17"/>
  <c r="E267" i="6" s="1"/>
  <c r="C213" i="17"/>
  <c r="E261" i="6" s="1"/>
  <c r="C207" i="17"/>
  <c r="E255" i="6" s="1"/>
  <c r="O255" i="6" s="1"/>
  <c r="C201" i="17"/>
  <c r="E249" i="6" s="1"/>
  <c r="C195" i="17"/>
  <c r="E243" i="6" s="1"/>
  <c r="C189" i="17"/>
  <c r="E237" i="6" s="1"/>
  <c r="C183" i="17"/>
  <c r="E231" i="6" s="1"/>
  <c r="C177" i="17"/>
  <c r="E225" i="6" s="1"/>
  <c r="O225" i="6" s="1"/>
  <c r="C171" i="17"/>
  <c r="E219" i="6" s="1"/>
  <c r="O219" i="6" s="1"/>
  <c r="C165" i="17"/>
  <c r="E213" i="6" s="1"/>
  <c r="C159" i="17"/>
  <c r="E207" i="6" s="1"/>
  <c r="C153" i="17"/>
  <c r="E201" i="6" s="1"/>
  <c r="C147" i="17"/>
  <c r="E195" i="6" s="1"/>
  <c r="C141" i="17"/>
  <c r="E189" i="6" s="1"/>
  <c r="O189" i="6" s="1"/>
  <c r="C135" i="17"/>
  <c r="E183" i="6" s="1"/>
  <c r="O183" i="6" s="1"/>
  <c r="C129" i="17"/>
  <c r="E177" i="6" s="1"/>
  <c r="C123" i="17"/>
  <c r="E171" i="6" s="1"/>
  <c r="C117" i="17"/>
  <c r="E165" i="6" s="1"/>
  <c r="C111" i="17"/>
  <c r="E159" i="6" s="1"/>
  <c r="C105" i="17"/>
  <c r="E153" i="6" s="1"/>
  <c r="O153" i="6" s="1"/>
  <c r="C99" i="17"/>
  <c r="E147" i="6" s="1"/>
  <c r="O147" i="6" s="1"/>
  <c r="C93" i="17"/>
  <c r="E141" i="6" s="1"/>
  <c r="C87" i="17"/>
  <c r="E135" i="6" s="1"/>
  <c r="C81" i="17"/>
  <c r="E129" i="6" s="1"/>
  <c r="C75" i="17"/>
  <c r="E123" i="6" s="1"/>
  <c r="C69" i="17"/>
  <c r="E117" i="6" s="1"/>
  <c r="O117" i="6" s="1"/>
  <c r="C63" i="17"/>
  <c r="E111" i="6" s="1"/>
  <c r="O111" i="6" s="1"/>
  <c r="C57" i="17"/>
  <c r="E105" i="6" s="1"/>
  <c r="C51" i="17"/>
  <c r="E99" i="6" s="1"/>
  <c r="C45" i="17"/>
  <c r="E93" i="6" s="1"/>
  <c r="C39" i="17"/>
  <c r="E87" i="6" s="1"/>
  <c r="C33" i="17"/>
  <c r="E81" i="6" s="1"/>
  <c r="O81" i="6" s="1"/>
  <c r="C27" i="17"/>
  <c r="E75" i="6" s="1"/>
  <c r="O75" i="6" s="1"/>
  <c r="C21" i="17"/>
  <c r="E69" i="6" s="1"/>
  <c r="AD399" i="16"/>
  <c r="I447" i="6" s="1"/>
  <c r="AD393" i="16"/>
  <c r="I441" i="6" s="1"/>
  <c r="AD387" i="16"/>
  <c r="I435" i="6" s="1"/>
  <c r="AD381" i="16"/>
  <c r="I429" i="6" s="1"/>
  <c r="AD375" i="16"/>
  <c r="I423" i="6" s="1"/>
  <c r="AD369" i="16"/>
  <c r="I417" i="6" s="1"/>
  <c r="AD363" i="16"/>
  <c r="I411" i="6" s="1"/>
  <c r="AD357" i="16"/>
  <c r="I405" i="6" s="1"/>
  <c r="AD351" i="16"/>
  <c r="I399" i="6" s="1"/>
  <c r="AD345" i="16"/>
  <c r="I393" i="6" s="1"/>
  <c r="AD339" i="16"/>
  <c r="I387" i="6" s="1"/>
  <c r="AD333" i="16"/>
  <c r="I381" i="6" s="1"/>
  <c r="AD327" i="16"/>
  <c r="I375" i="6" s="1"/>
  <c r="AD321" i="16"/>
  <c r="I369" i="6" s="1"/>
  <c r="AD315" i="16"/>
  <c r="I363" i="6" s="1"/>
  <c r="AD309" i="16"/>
  <c r="I357" i="6" s="1"/>
  <c r="AD303" i="16"/>
  <c r="I351" i="6" s="1"/>
  <c r="AD297" i="16"/>
  <c r="I345" i="6" s="1"/>
  <c r="AD291" i="16"/>
  <c r="I339" i="6" s="1"/>
  <c r="AD285" i="16"/>
  <c r="I333" i="6" s="1"/>
  <c r="AD279" i="16"/>
  <c r="I327" i="6" s="1"/>
  <c r="AD273" i="16"/>
  <c r="I321" i="6" s="1"/>
  <c r="AD267" i="16"/>
  <c r="I315" i="6" s="1"/>
  <c r="AD261" i="16"/>
  <c r="I309" i="6" s="1"/>
  <c r="AD255" i="16"/>
  <c r="I303" i="6" s="1"/>
  <c r="AD249" i="16"/>
  <c r="I297" i="6" s="1"/>
  <c r="AD243" i="16"/>
  <c r="I291" i="6" s="1"/>
  <c r="AD237" i="16"/>
  <c r="I285" i="6" s="1"/>
  <c r="AD231" i="16"/>
  <c r="I279" i="6" s="1"/>
  <c r="AD225" i="16"/>
  <c r="I273" i="6" s="1"/>
  <c r="AD219" i="16"/>
  <c r="I267" i="6" s="1"/>
  <c r="AD213" i="16"/>
  <c r="I261" i="6" s="1"/>
  <c r="AD207" i="16"/>
  <c r="I255" i="6" s="1"/>
  <c r="AD201" i="16"/>
  <c r="I249" i="6" s="1"/>
  <c r="AD195" i="16"/>
  <c r="I243" i="6" s="1"/>
  <c r="AD189" i="16"/>
  <c r="I237" i="6" s="1"/>
  <c r="AD183" i="16"/>
  <c r="I231" i="6" s="1"/>
  <c r="AD177" i="16"/>
  <c r="I225" i="6" s="1"/>
  <c r="AD171" i="16"/>
  <c r="I219" i="6" s="1"/>
  <c r="AD165" i="16"/>
  <c r="I213" i="6" s="1"/>
  <c r="AD159" i="16"/>
  <c r="I207" i="6" s="1"/>
  <c r="AD153" i="16"/>
  <c r="I201" i="6" s="1"/>
  <c r="AD147" i="16"/>
  <c r="I195" i="6" s="1"/>
  <c r="AD141" i="16"/>
  <c r="I189" i="6" s="1"/>
  <c r="AD135" i="16"/>
  <c r="I183" i="6" s="1"/>
  <c r="AD129" i="16"/>
  <c r="I177" i="6" s="1"/>
  <c r="AD123" i="16"/>
  <c r="I171" i="6" s="1"/>
  <c r="AD117" i="16"/>
  <c r="I165" i="6" s="1"/>
  <c r="AD111" i="16"/>
  <c r="I159" i="6" s="1"/>
  <c r="AD105" i="16"/>
  <c r="I153" i="6" s="1"/>
  <c r="AD99" i="16"/>
  <c r="I147" i="6" s="1"/>
  <c r="AD93" i="16"/>
  <c r="I141" i="6" s="1"/>
  <c r="AD87" i="16"/>
  <c r="I135" i="6" s="1"/>
  <c r="AD81" i="16"/>
  <c r="I129" i="6" s="1"/>
  <c r="AD75" i="16"/>
  <c r="I123" i="6" s="1"/>
  <c r="AD69" i="16"/>
  <c r="I117" i="6" s="1"/>
  <c r="AD63" i="16"/>
  <c r="I111" i="6" s="1"/>
  <c r="AD57" i="16"/>
  <c r="I105" i="6" s="1"/>
  <c r="AD51" i="16"/>
  <c r="I99" i="6" s="1"/>
  <c r="AD45" i="16"/>
  <c r="I93" i="6" s="1"/>
  <c r="AD291" i="17"/>
  <c r="J339" i="6" s="1"/>
  <c r="AD284" i="17"/>
  <c r="J332" i="6" s="1"/>
  <c r="AD278" i="17"/>
  <c r="J326" i="6" s="1"/>
  <c r="AD272" i="17"/>
  <c r="J320" i="6" s="1"/>
  <c r="AD266" i="17"/>
  <c r="J314" i="6" s="1"/>
  <c r="AD260" i="17"/>
  <c r="J308" i="6" s="1"/>
  <c r="AD254" i="17"/>
  <c r="J302" i="6" s="1"/>
  <c r="AD248" i="17"/>
  <c r="J296" i="6" s="1"/>
  <c r="AD242" i="17"/>
  <c r="J290" i="6" s="1"/>
  <c r="AD236" i="17"/>
  <c r="J284" i="6" s="1"/>
  <c r="AD230" i="17"/>
  <c r="J278" i="6" s="1"/>
  <c r="AD224" i="17"/>
  <c r="J272" i="6" s="1"/>
  <c r="AD218" i="17"/>
  <c r="J266" i="6" s="1"/>
  <c r="AD212" i="17"/>
  <c r="J260" i="6" s="1"/>
  <c r="AD206" i="17"/>
  <c r="J254" i="6" s="1"/>
  <c r="AD200" i="17"/>
  <c r="J248" i="6" s="1"/>
  <c r="AD194" i="17"/>
  <c r="J242" i="6" s="1"/>
  <c r="AD188" i="17"/>
  <c r="J236" i="6" s="1"/>
  <c r="AD182" i="17"/>
  <c r="J230" i="6" s="1"/>
  <c r="AD176" i="17"/>
  <c r="J224" i="6" s="1"/>
  <c r="AD170" i="17"/>
  <c r="J218" i="6" s="1"/>
  <c r="AD164" i="17"/>
  <c r="J212" i="6" s="1"/>
  <c r="AD158" i="17"/>
  <c r="J206" i="6" s="1"/>
  <c r="AD152" i="17"/>
  <c r="J200" i="6" s="1"/>
  <c r="AD146" i="17"/>
  <c r="J194" i="6" s="1"/>
  <c r="AD140" i="17"/>
  <c r="J188" i="6" s="1"/>
  <c r="AD134" i="17"/>
  <c r="J182" i="6" s="1"/>
  <c r="AD128" i="17"/>
  <c r="J176" i="6" s="1"/>
  <c r="AD122" i="17"/>
  <c r="J170" i="6" s="1"/>
  <c r="AD116" i="17"/>
  <c r="J164" i="6" s="1"/>
  <c r="AD110" i="17"/>
  <c r="J158" i="6" s="1"/>
  <c r="AD104" i="17"/>
  <c r="J152" i="6" s="1"/>
  <c r="AD98" i="17"/>
  <c r="J146" i="6" s="1"/>
  <c r="AD92" i="17"/>
  <c r="J140" i="6" s="1"/>
  <c r="AD86" i="17"/>
  <c r="J134" i="6" s="1"/>
  <c r="AD80" i="17"/>
  <c r="J128" i="6" s="1"/>
  <c r="AD74" i="17"/>
  <c r="J122" i="6" s="1"/>
  <c r="AD68" i="17"/>
  <c r="J116" i="6" s="1"/>
  <c r="AD62" i="17"/>
  <c r="J110" i="6" s="1"/>
  <c r="AD56" i="17"/>
  <c r="J104" i="6" s="1"/>
  <c r="AD50" i="17"/>
  <c r="J98" i="6" s="1"/>
  <c r="AD44" i="17"/>
  <c r="J92" i="6" s="1"/>
  <c r="AD38" i="17"/>
  <c r="J86" i="6" s="1"/>
  <c r="AD32" i="17"/>
  <c r="J80" i="6" s="1"/>
  <c r="AD26" i="17"/>
  <c r="J74" i="6" s="1"/>
  <c r="AD20" i="17"/>
  <c r="J68" i="6" s="1"/>
  <c r="C398" i="17"/>
  <c r="E446" i="6" s="1"/>
  <c r="O446" i="6" s="1"/>
  <c r="C392" i="17"/>
  <c r="E440" i="6" s="1"/>
  <c r="C386" i="17"/>
  <c r="E434" i="6" s="1"/>
  <c r="O434" i="6" s="1"/>
  <c r="C380" i="17"/>
  <c r="E428" i="6" s="1"/>
  <c r="C374" i="17"/>
  <c r="E422" i="6" s="1"/>
  <c r="O422" i="6" s="1"/>
  <c r="C368" i="17"/>
  <c r="E416" i="6" s="1"/>
  <c r="O416" i="6" s="1"/>
  <c r="C362" i="17"/>
  <c r="E410" i="6" s="1"/>
  <c r="O410" i="6" s="1"/>
  <c r="C356" i="17"/>
  <c r="E404" i="6" s="1"/>
  <c r="C350" i="17"/>
  <c r="E398" i="6" s="1"/>
  <c r="O398" i="6" s="1"/>
  <c r="C344" i="17"/>
  <c r="E392" i="6" s="1"/>
  <c r="C338" i="17"/>
  <c r="E386" i="6" s="1"/>
  <c r="O386" i="6" s="1"/>
  <c r="C332" i="17"/>
  <c r="E380" i="6" s="1"/>
  <c r="O380" i="6" s="1"/>
  <c r="C326" i="17"/>
  <c r="E374" i="6" s="1"/>
  <c r="O374" i="6" s="1"/>
  <c r="C320" i="17"/>
  <c r="E368" i="6" s="1"/>
  <c r="C314" i="17"/>
  <c r="E362" i="6" s="1"/>
  <c r="O362" i="6" s="1"/>
  <c r="C308" i="17"/>
  <c r="E356" i="6" s="1"/>
  <c r="C302" i="17"/>
  <c r="E350" i="6" s="1"/>
  <c r="O350" i="6" s="1"/>
  <c r="C296" i="17"/>
  <c r="E344" i="6" s="1"/>
  <c r="C290" i="17"/>
  <c r="E338" i="6" s="1"/>
  <c r="C284" i="17"/>
  <c r="E332" i="6" s="1"/>
  <c r="C278" i="17"/>
  <c r="E326" i="6" s="1"/>
  <c r="C272" i="17"/>
  <c r="E320" i="6" s="1"/>
  <c r="C266" i="17"/>
  <c r="E314" i="6" s="1"/>
  <c r="C260" i="17"/>
  <c r="E308" i="6" s="1"/>
  <c r="C254" i="17"/>
  <c r="E302" i="6" s="1"/>
  <c r="C248" i="17"/>
  <c r="E296" i="6" s="1"/>
  <c r="C242" i="17"/>
  <c r="E290" i="6" s="1"/>
  <c r="C236" i="17"/>
  <c r="E284" i="6" s="1"/>
  <c r="C230" i="17"/>
  <c r="E278" i="6" s="1"/>
  <c r="C224" i="17"/>
  <c r="E272" i="6" s="1"/>
  <c r="C218" i="17"/>
  <c r="E266" i="6" s="1"/>
  <c r="C212" i="17"/>
  <c r="E260" i="6" s="1"/>
  <c r="C206" i="17"/>
  <c r="E254" i="6" s="1"/>
  <c r="C200" i="17"/>
  <c r="E248" i="6" s="1"/>
  <c r="C194" i="17"/>
  <c r="E242" i="6" s="1"/>
  <c r="C188" i="17"/>
  <c r="E236" i="6" s="1"/>
  <c r="C182" i="17"/>
  <c r="E230" i="6" s="1"/>
  <c r="C176" i="17"/>
  <c r="E224" i="6" s="1"/>
  <c r="C170" i="17"/>
  <c r="E218" i="6" s="1"/>
  <c r="C164" i="17"/>
  <c r="E212" i="6" s="1"/>
  <c r="C158" i="17"/>
  <c r="E206" i="6" s="1"/>
  <c r="C152" i="17"/>
  <c r="E200" i="6" s="1"/>
  <c r="C146" i="17"/>
  <c r="E194" i="6" s="1"/>
  <c r="C140" i="17"/>
  <c r="E188" i="6" s="1"/>
  <c r="C134" i="17"/>
  <c r="E182" i="6" s="1"/>
  <c r="C128" i="17"/>
  <c r="E176" i="6" s="1"/>
  <c r="C122" i="17"/>
  <c r="E170" i="6" s="1"/>
  <c r="C116" i="17"/>
  <c r="E164" i="6" s="1"/>
  <c r="C110" i="17"/>
  <c r="E158" i="6" s="1"/>
  <c r="C104" i="17"/>
  <c r="E152" i="6" s="1"/>
  <c r="C98" i="17"/>
  <c r="E146" i="6" s="1"/>
  <c r="C92" i="17"/>
  <c r="E140" i="6" s="1"/>
  <c r="C86" i="17"/>
  <c r="E134" i="6" s="1"/>
  <c r="C80" i="17"/>
  <c r="E128" i="6" s="1"/>
  <c r="C74" i="17"/>
  <c r="E122" i="6" s="1"/>
  <c r="C68" i="17"/>
  <c r="E116" i="6" s="1"/>
  <c r="C62" i="17"/>
  <c r="E110" i="6" s="1"/>
  <c r="C56" i="17"/>
  <c r="E104" i="6" s="1"/>
  <c r="C50" i="17"/>
  <c r="E98" i="6" s="1"/>
  <c r="C44" i="17"/>
  <c r="E92" i="6" s="1"/>
  <c r="C38" i="17"/>
  <c r="E86" i="6" s="1"/>
  <c r="C32" i="17"/>
  <c r="E80" i="6" s="1"/>
  <c r="C26" i="17"/>
  <c r="E74" i="6" s="1"/>
  <c r="C20" i="17"/>
  <c r="E68" i="6" s="1"/>
  <c r="AD398" i="16"/>
  <c r="I446" i="6" s="1"/>
  <c r="AD392" i="16"/>
  <c r="I440" i="6" s="1"/>
  <c r="AD386" i="16"/>
  <c r="I434" i="6" s="1"/>
  <c r="AD380" i="16"/>
  <c r="I428" i="6" s="1"/>
  <c r="AD374" i="16"/>
  <c r="I422" i="6" s="1"/>
  <c r="AD368" i="16"/>
  <c r="I416" i="6" s="1"/>
  <c r="AD362" i="16"/>
  <c r="I410" i="6" s="1"/>
  <c r="AD356" i="16"/>
  <c r="I404" i="6" s="1"/>
  <c r="AD350" i="16"/>
  <c r="I398" i="6" s="1"/>
  <c r="AD344" i="16"/>
  <c r="I392" i="6" s="1"/>
  <c r="AD338" i="16"/>
  <c r="I386" i="6" s="1"/>
  <c r="AD332" i="16"/>
  <c r="I380" i="6" s="1"/>
  <c r="AD326" i="16"/>
  <c r="I374" i="6" s="1"/>
  <c r="AD320" i="16"/>
  <c r="I368" i="6" s="1"/>
  <c r="AD314" i="16"/>
  <c r="I362" i="6" s="1"/>
  <c r="AD308" i="16"/>
  <c r="I356" i="6" s="1"/>
  <c r="AD302" i="16"/>
  <c r="I350" i="6" s="1"/>
  <c r="AD296" i="16"/>
  <c r="I344" i="6" s="1"/>
  <c r="AD290" i="16"/>
  <c r="I338" i="6" s="1"/>
  <c r="AD284" i="16"/>
  <c r="I332" i="6" s="1"/>
  <c r="AD278" i="16"/>
  <c r="I326" i="6" s="1"/>
  <c r="AD272" i="16"/>
  <c r="I320" i="6" s="1"/>
  <c r="AD266" i="16"/>
  <c r="I314" i="6" s="1"/>
  <c r="AD260" i="16"/>
  <c r="I308" i="6" s="1"/>
  <c r="AD254" i="16"/>
  <c r="I302" i="6" s="1"/>
  <c r="AD248" i="16"/>
  <c r="I296" i="6" s="1"/>
  <c r="AD242" i="16"/>
  <c r="I290" i="6" s="1"/>
  <c r="AD236" i="16"/>
  <c r="I284" i="6" s="1"/>
  <c r="AD230" i="16"/>
  <c r="I278" i="6" s="1"/>
  <c r="AD224" i="16"/>
  <c r="I272" i="6" s="1"/>
  <c r="AD218" i="16"/>
  <c r="I266" i="6" s="1"/>
  <c r="AD212" i="16"/>
  <c r="I260" i="6" s="1"/>
  <c r="AD206" i="16"/>
  <c r="I254" i="6" s="1"/>
  <c r="AD200" i="16"/>
  <c r="I248" i="6" s="1"/>
  <c r="AD194" i="16"/>
  <c r="I242" i="6" s="1"/>
  <c r="AD188" i="16"/>
  <c r="I236" i="6" s="1"/>
  <c r="AD182" i="16"/>
  <c r="I230" i="6" s="1"/>
  <c r="AD176" i="16"/>
  <c r="I224" i="6" s="1"/>
  <c r="AD170" i="16"/>
  <c r="I218" i="6" s="1"/>
  <c r="AD164" i="16"/>
  <c r="I212" i="6" s="1"/>
  <c r="AD158" i="16"/>
  <c r="I206" i="6" s="1"/>
  <c r="AD152" i="16"/>
  <c r="I200" i="6" s="1"/>
  <c r="AD146" i="16"/>
  <c r="I194" i="6" s="1"/>
  <c r="AD140" i="16"/>
  <c r="I188" i="6" s="1"/>
  <c r="AD134" i="16"/>
  <c r="I182" i="6" s="1"/>
  <c r="AD128" i="16"/>
  <c r="I176" i="6" s="1"/>
  <c r="AD122" i="16"/>
  <c r="I170" i="6" s="1"/>
  <c r="AD116" i="16"/>
  <c r="I164" i="6" s="1"/>
  <c r="AD110" i="16"/>
  <c r="I158" i="6" s="1"/>
  <c r="AD104" i="16"/>
  <c r="I152" i="6" s="1"/>
  <c r="AD98" i="16"/>
  <c r="I146" i="6" s="1"/>
  <c r="AD92" i="16"/>
  <c r="I140" i="6" s="1"/>
  <c r="AD86" i="16"/>
  <c r="I134" i="6" s="1"/>
  <c r="AD80" i="16"/>
  <c r="I128" i="6" s="1"/>
  <c r="AD74" i="16"/>
  <c r="I122" i="6" s="1"/>
  <c r="AD68" i="16"/>
  <c r="I116" i="6" s="1"/>
  <c r="AD62" i="16"/>
  <c r="I110" i="6" s="1"/>
  <c r="AD290" i="17"/>
  <c r="J338" i="6" s="1"/>
  <c r="AD283" i="17"/>
  <c r="J331" i="6" s="1"/>
  <c r="AD277" i="17"/>
  <c r="J325" i="6" s="1"/>
  <c r="AD271" i="17"/>
  <c r="J319" i="6" s="1"/>
  <c r="AD265" i="17"/>
  <c r="J313" i="6" s="1"/>
  <c r="AD259" i="17"/>
  <c r="J307" i="6" s="1"/>
  <c r="AD253" i="17"/>
  <c r="J301" i="6" s="1"/>
  <c r="AD247" i="17"/>
  <c r="J295" i="6" s="1"/>
  <c r="AD241" i="17"/>
  <c r="J289" i="6" s="1"/>
  <c r="AD235" i="17"/>
  <c r="J283" i="6" s="1"/>
  <c r="AD229" i="17"/>
  <c r="J277" i="6" s="1"/>
  <c r="AD223" i="17"/>
  <c r="J271" i="6" s="1"/>
  <c r="AD217" i="17"/>
  <c r="J265" i="6" s="1"/>
  <c r="AD211" i="17"/>
  <c r="J259" i="6" s="1"/>
  <c r="AD205" i="17"/>
  <c r="J253" i="6" s="1"/>
  <c r="AD199" i="17"/>
  <c r="J247" i="6" s="1"/>
  <c r="AD193" i="17"/>
  <c r="J241" i="6" s="1"/>
  <c r="AD187" i="17"/>
  <c r="J235" i="6" s="1"/>
  <c r="AD181" i="17"/>
  <c r="J229" i="6" s="1"/>
  <c r="AD175" i="17"/>
  <c r="J223" i="6" s="1"/>
  <c r="AD169" i="17"/>
  <c r="J217" i="6" s="1"/>
  <c r="AD163" i="17"/>
  <c r="J211" i="6" s="1"/>
  <c r="AD157" i="17"/>
  <c r="J205" i="6" s="1"/>
  <c r="AD151" i="17"/>
  <c r="J199" i="6" s="1"/>
  <c r="AD145" i="17"/>
  <c r="J193" i="6" s="1"/>
  <c r="AD139" i="17"/>
  <c r="J187" i="6" s="1"/>
  <c r="AD133" i="17"/>
  <c r="J181" i="6" s="1"/>
  <c r="AD127" i="17"/>
  <c r="J175" i="6" s="1"/>
  <c r="AD121" i="17"/>
  <c r="J169" i="6" s="1"/>
  <c r="AD115" i="17"/>
  <c r="J163" i="6" s="1"/>
  <c r="AD109" i="17"/>
  <c r="J157" i="6" s="1"/>
  <c r="AD103" i="17"/>
  <c r="J151" i="6" s="1"/>
  <c r="AD97" i="17"/>
  <c r="J145" i="6" s="1"/>
  <c r="AD91" i="17"/>
  <c r="J139" i="6" s="1"/>
  <c r="AD85" i="17"/>
  <c r="J133" i="6" s="1"/>
  <c r="AD79" i="17"/>
  <c r="J127" i="6" s="1"/>
  <c r="AD73" i="17"/>
  <c r="J121" i="6" s="1"/>
  <c r="AD67" i="17"/>
  <c r="J115" i="6" s="1"/>
  <c r="AD61" i="17"/>
  <c r="J109" i="6" s="1"/>
  <c r="AD55" i="17"/>
  <c r="J103" i="6" s="1"/>
  <c r="AD49" i="17"/>
  <c r="J97" i="6" s="1"/>
  <c r="AD43" i="17"/>
  <c r="J91" i="6" s="1"/>
  <c r="AD37" i="17"/>
  <c r="J85" i="6" s="1"/>
  <c r="AD31" i="17"/>
  <c r="J79" i="6" s="1"/>
  <c r="AD25" i="17"/>
  <c r="J73" i="6" s="1"/>
  <c r="C403" i="17"/>
  <c r="E451" i="6" s="1"/>
  <c r="O451" i="6" s="1"/>
  <c r="C397" i="17"/>
  <c r="E445" i="6" s="1"/>
  <c r="O445" i="6" s="1"/>
  <c r="C391" i="17"/>
  <c r="E439" i="6" s="1"/>
  <c r="O439" i="6" s="1"/>
  <c r="C385" i="17"/>
  <c r="E433" i="6" s="1"/>
  <c r="O433" i="6" s="1"/>
  <c r="C379" i="17"/>
  <c r="E427" i="6" s="1"/>
  <c r="O427" i="6" s="1"/>
  <c r="C373" i="17"/>
  <c r="E421" i="6" s="1"/>
  <c r="O421" i="6" s="1"/>
  <c r="C367" i="17"/>
  <c r="E415" i="6" s="1"/>
  <c r="O415" i="6" s="1"/>
  <c r="C361" i="17"/>
  <c r="E409" i="6" s="1"/>
  <c r="O409" i="6" s="1"/>
  <c r="C355" i="17"/>
  <c r="E403" i="6" s="1"/>
  <c r="O403" i="6" s="1"/>
  <c r="C349" i="17"/>
  <c r="E397" i="6" s="1"/>
  <c r="O397" i="6" s="1"/>
  <c r="C343" i="17"/>
  <c r="E391" i="6" s="1"/>
  <c r="O391" i="6" s="1"/>
  <c r="C337" i="17"/>
  <c r="E385" i="6" s="1"/>
  <c r="O385" i="6" s="1"/>
  <c r="C331" i="17"/>
  <c r="E379" i="6" s="1"/>
  <c r="O379" i="6" s="1"/>
  <c r="C325" i="17"/>
  <c r="E373" i="6" s="1"/>
  <c r="O373" i="6" s="1"/>
  <c r="C319" i="17"/>
  <c r="E367" i="6" s="1"/>
  <c r="O367" i="6" s="1"/>
  <c r="C313" i="17"/>
  <c r="E361" i="6" s="1"/>
  <c r="O361" i="6" s="1"/>
  <c r="C307" i="17"/>
  <c r="E355" i="6" s="1"/>
  <c r="O355" i="6" s="1"/>
  <c r="C301" i="17"/>
  <c r="E349" i="6" s="1"/>
  <c r="C295" i="17"/>
  <c r="E343" i="6" s="1"/>
  <c r="C289" i="17"/>
  <c r="E337" i="6" s="1"/>
  <c r="C283" i="17"/>
  <c r="E331" i="6" s="1"/>
  <c r="C277" i="17"/>
  <c r="E325" i="6" s="1"/>
  <c r="C271" i="17"/>
  <c r="E319" i="6" s="1"/>
  <c r="C265" i="17"/>
  <c r="E313" i="6" s="1"/>
  <c r="C259" i="17"/>
  <c r="E307" i="6" s="1"/>
  <c r="C253" i="17"/>
  <c r="E301" i="6" s="1"/>
  <c r="O301" i="6" s="1"/>
  <c r="C247" i="17"/>
  <c r="E295" i="6" s="1"/>
  <c r="C241" i="17"/>
  <c r="E289" i="6" s="1"/>
  <c r="C235" i="17"/>
  <c r="E283" i="6" s="1"/>
  <c r="C229" i="17"/>
  <c r="E277" i="6" s="1"/>
  <c r="C223" i="17"/>
  <c r="E271" i="6" s="1"/>
  <c r="C217" i="17"/>
  <c r="E265" i="6" s="1"/>
  <c r="O265" i="6" s="1"/>
  <c r="C211" i="17"/>
  <c r="E259" i="6" s="1"/>
  <c r="C205" i="17"/>
  <c r="E253" i="6" s="1"/>
  <c r="C199" i="17"/>
  <c r="E247" i="6" s="1"/>
  <c r="C193" i="17"/>
  <c r="E241" i="6" s="1"/>
  <c r="C187" i="17"/>
  <c r="E235" i="6" s="1"/>
  <c r="C181" i="17"/>
  <c r="E229" i="6" s="1"/>
  <c r="O229" i="6" s="1"/>
  <c r="C175" i="17"/>
  <c r="E223" i="6" s="1"/>
  <c r="C169" i="17"/>
  <c r="E217" i="6" s="1"/>
  <c r="C163" i="17"/>
  <c r="E211" i="6" s="1"/>
  <c r="C157" i="17"/>
  <c r="E205" i="6" s="1"/>
  <c r="C151" i="17"/>
  <c r="E199" i="6" s="1"/>
  <c r="C145" i="17"/>
  <c r="E193" i="6" s="1"/>
  <c r="C139" i="17"/>
  <c r="E187" i="6" s="1"/>
  <c r="C133" i="17"/>
  <c r="E181" i="6" s="1"/>
  <c r="C127" i="17"/>
  <c r="E175" i="6" s="1"/>
  <c r="C121" i="17"/>
  <c r="E169" i="6" s="1"/>
  <c r="C115" i="17"/>
  <c r="E163" i="6" s="1"/>
  <c r="C109" i="17"/>
  <c r="E157" i="6" s="1"/>
  <c r="O157" i="6" s="1"/>
  <c r="C103" i="17"/>
  <c r="E151" i="6" s="1"/>
  <c r="C97" i="17"/>
  <c r="E145" i="6" s="1"/>
  <c r="C91" i="17"/>
  <c r="E139" i="6" s="1"/>
  <c r="C85" i="17"/>
  <c r="E133" i="6" s="1"/>
  <c r="C79" i="17"/>
  <c r="E127" i="6" s="1"/>
  <c r="C73" i="17"/>
  <c r="E121" i="6" s="1"/>
  <c r="O121" i="6" s="1"/>
  <c r="C67" i="17"/>
  <c r="E115" i="6" s="1"/>
  <c r="O115" i="6" s="1"/>
  <c r="C61" i="17"/>
  <c r="E109" i="6" s="1"/>
  <c r="C55" i="17"/>
  <c r="E103" i="6" s="1"/>
  <c r="C49" i="17"/>
  <c r="E97" i="6" s="1"/>
  <c r="C43" i="17"/>
  <c r="E91" i="6" s="1"/>
  <c r="C37" i="17"/>
  <c r="E85" i="6" s="1"/>
  <c r="O85" i="6" s="1"/>
  <c r="C31" i="17"/>
  <c r="E79" i="6" s="1"/>
  <c r="O79" i="6" s="1"/>
  <c r="C25" i="17"/>
  <c r="E73" i="6" s="1"/>
  <c r="AD397" i="16"/>
  <c r="I445" i="6" s="1"/>
  <c r="AD391" i="16"/>
  <c r="I439" i="6" s="1"/>
  <c r="AD385" i="16"/>
  <c r="I433" i="6" s="1"/>
  <c r="AD379" i="16"/>
  <c r="I427" i="6" s="1"/>
  <c r="AD373" i="16"/>
  <c r="I421" i="6" s="1"/>
  <c r="AD367" i="16"/>
  <c r="I415" i="6" s="1"/>
  <c r="AD361" i="16"/>
  <c r="I409" i="6" s="1"/>
  <c r="AD355" i="16"/>
  <c r="I403" i="6" s="1"/>
  <c r="AD349" i="16"/>
  <c r="I397" i="6" s="1"/>
  <c r="AD343" i="16"/>
  <c r="I391" i="6" s="1"/>
  <c r="AD337" i="16"/>
  <c r="I385" i="6" s="1"/>
  <c r="AD331" i="16"/>
  <c r="I379" i="6" s="1"/>
  <c r="AD325" i="16"/>
  <c r="I373" i="6" s="1"/>
  <c r="AD319" i="16"/>
  <c r="I367" i="6" s="1"/>
  <c r="AD313" i="16"/>
  <c r="I361" i="6" s="1"/>
  <c r="AD307" i="16"/>
  <c r="I355" i="6" s="1"/>
  <c r="AD301" i="16"/>
  <c r="I349" i="6" s="1"/>
  <c r="AD295" i="16"/>
  <c r="I343" i="6" s="1"/>
  <c r="AD289" i="16"/>
  <c r="I337" i="6" s="1"/>
  <c r="AD283" i="16"/>
  <c r="I331" i="6" s="1"/>
  <c r="AD277" i="16"/>
  <c r="I325" i="6" s="1"/>
  <c r="AD271" i="16"/>
  <c r="I319" i="6" s="1"/>
  <c r="AD265" i="16"/>
  <c r="I313" i="6" s="1"/>
  <c r="AD259" i="16"/>
  <c r="I307" i="6" s="1"/>
  <c r="AD253" i="16"/>
  <c r="I301" i="6" s="1"/>
  <c r="AD247" i="16"/>
  <c r="I295" i="6" s="1"/>
  <c r="AD241" i="16"/>
  <c r="I289" i="6" s="1"/>
  <c r="AD235" i="16"/>
  <c r="I283" i="6" s="1"/>
  <c r="AD229" i="16"/>
  <c r="I277" i="6" s="1"/>
  <c r="AD223" i="16"/>
  <c r="I271" i="6" s="1"/>
  <c r="AD217" i="16"/>
  <c r="I265" i="6" s="1"/>
  <c r="AD211" i="16"/>
  <c r="I259" i="6" s="1"/>
  <c r="AD205" i="16"/>
  <c r="I253" i="6" s="1"/>
  <c r="AD199" i="16"/>
  <c r="I247" i="6" s="1"/>
  <c r="AD193" i="16"/>
  <c r="I241" i="6" s="1"/>
  <c r="AD187" i="16"/>
  <c r="I235" i="6" s="1"/>
  <c r="AD181" i="16"/>
  <c r="I229" i="6" s="1"/>
  <c r="AD175" i="16"/>
  <c r="I223" i="6" s="1"/>
  <c r="AD169" i="16"/>
  <c r="I217" i="6" s="1"/>
  <c r="AD163" i="16"/>
  <c r="I211" i="6" s="1"/>
  <c r="AD157" i="16"/>
  <c r="I205" i="6" s="1"/>
  <c r="AD151" i="16"/>
  <c r="I199" i="6" s="1"/>
  <c r="AD145" i="16"/>
  <c r="I193" i="6" s="1"/>
  <c r="AD301" i="17"/>
  <c r="J349" i="6" s="1"/>
  <c r="AD289" i="17"/>
  <c r="J337" i="6" s="1"/>
  <c r="AD282" i="17"/>
  <c r="J330" i="6" s="1"/>
  <c r="AD276" i="17"/>
  <c r="J324" i="6" s="1"/>
  <c r="AD270" i="17"/>
  <c r="J318" i="6" s="1"/>
  <c r="AD264" i="17"/>
  <c r="J312" i="6" s="1"/>
  <c r="AD258" i="17"/>
  <c r="J306" i="6" s="1"/>
  <c r="AD252" i="17"/>
  <c r="J300" i="6" s="1"/>
  <c r="AD246" i="17"/>
  <c r="J294" i="6" s="1"/>
  <c r="AD240" i="17"/>
  <c r="J288" i="6" s="1"/>
  <c r="AD234" i="17"/>
  <c r="J282" i="6" s="1"/>
  <c r="AD228" i="17"/>
  <c r="J276" i="6" s="1"/>
  <c r="AD222" i="17"/>
  <c r="J270" i="6" s="1"/>
  <c r="AD216" i="17"/>
  <c r="J264" i="6" s="1"/>
  <c r="AD210" i="17"/>
  <c r="J258" i="6" s="1"/>
  <c r="AD204" i="17"/>
  <c r="J252" i="6" s="1"/>
  <c r="AD198" i="17"/>
  <c r="J246" i="6" s="1"/>
  <c r="AD192" i="17"/>
  <c r="J240" i="6" s="1"/>
  <c r="AD186" i="17"/>
  <c r="J234" i="6" s="1"/>
  <c r="AD180" i="17"/>
  <c r="J228" i="6" s="1"/>
  <c r="AD174" i="17"/>
  <c r="J222" i="6" s="1"/>
  <c r="AD168" i="17"/>
  <c r="J216" i="6" s="1"/>
  <c r="AD162" i="17"/>
  <c r="J210" i="6" s="1"/>
  <c r="AD156" i="17"/>
  <c r="J204" i="6" s="1"/>
  <c r="AD150" i="17"/>
  <c r="J198" i="6" s="1"/>
  <c r="AD144" i="17"/>
  <c r="J192" i="6" s="1"/>
  <c r="AD138" i="17"/>
  <c r="J186" i="6" s="1"/>
  <c r="AD132" i="17"/>
  <c r="J180" i="6" s="1"/>
  <c r="AD126" i="17"/>
  <c r="J174" i="6" s="1"/>
  <c r="AD120" i="17"/>
  <c r="J168" i="6" s="1"/>
  <c r="AD114" i="17"/>
  <c r="J162" i="6" s="1"/>
  <c r="AD108" i="17"/>
  <c r="J156" i="6" s="1"/>
  <c r="AD102" i="17"/>
  <c r="J150" i="6" s="1"/>
  <c r="AD96" i="17"/>
  <c r="J144" i="6" s="1"/>
  <c r="AD90" i="17"/>
  <c r="J138" i="6" s="1"/>
  <c r="AD84" i="17"/>
  <c r="J132" i="6" s="1"/>
  <c r="AD78" i="17"/>
  <c r="J126" i="6" s="1"/>
  <c r="AD72" i="17"/>
  <c r="J120" i="6" s="1"/>
  <c r="AD66" i="17"/>
  <c r="J114" i="6" s="1"/>
  <c r="AD60" i="17"/>
  <c r="J108" i="6" s="1"/>
  <c r="AD54" i="17"/>
  <c r="J102" i="6" s="1"/>
  <c r="AD48" i="17"/>
  <c r="J96" i="6" s="1"/>
  <c r="AD42" i="17"/>
  <c r="J90" i="6" s="1"/>
  <c r="AD36" i="17"/>
  <c r="J84" i="6" s="1"/>
  <c r="AD30" i="17"/>
  <c r="J78" i="6" s="1"/>
  <c r="AD24" i="17"/>
  <c r="J72" i="6" s="1"/>
  <c r="C402" i="17"/>
  <c r="E450" i="6" s="1"/>
  <c r="O450" i="6" s="1"/>
  <c r="C396" i="17"/>
  <c r="E444" i="6" s="1"/>
  <c r="C390" i="17"/>
  <c r="E438" i="6" s="1"/>
  <c r="C384" i="17"/>
  <c r="E432" i="6" s="1"/>
  <c r="C378" i="17"/>
  <c r="E426" i="6" s="1"/>
  <c r="O426" i="6" s="1"/>
  <c r="C372" i="17"/>
  <c r="E420" i="6" s="1"/>
  <c r="O420" i="6" s="1"/>
  <c r="C366" i="17"/>
  <c r="E414" i="6" s="1"/>
  <c r="O414" i="6" s="1"/>
  <c r="C360" i="17"/>
  <c r="E408" i="6" s="1"/>
  <c r="C354" i="17"/>
  <c r="E402" i="6" s="1"/>
  <c r="C348" i="17"/>
  <c r="E396" i="6" s="1"/>
  <c r="C342" i="17"/>
  <c r="E390" i="6" s="1"/>
  <c r="C336" i="17"/>
  <c r="E384" i="6" s="1"/>
  <c r="O384" i="6" s="1"/>
  <c r="C330" i="17"/>
  <c r="E378" i="6" s="1"/>
  <c r="O378" i="6" s="1"/>
  <c r="C324" i="17"/>
  <c r="E372" i="6" s="1"/>
  <c r="C318" i="17"/>
  <c r="E366" i="6" s="1"/>
  <c r="C312" i="17"/>
  <c r="E360" i="6" s="1"/>
  <c r="C306" i="17"/>
  <c r="E354" i="6" s="1"/>
  <c r="O354" i="6" s="1"/>
  <c r="C300" i="17"/>
  <c r="E348" i="6" s="1"/>
  <c r="O348" i="6" s="1"/>
  <c r="C294" i="17"/>
  <c r="E342" i="6" s="1"/>
  <c r="C288" i="17"/>
  <c r="E336" i="6" s="1"/>
  <c r="C282" i="17"/>
  <c r="E330" i="6" s="1"/>
  <c r="C276" i="17"/>
  <c r="E324" i="6" s="1"/>
  <c r="C270" i="17"/>
  <c r="E318" i="6" s="1"/>
  <c r="O318" i="6" s="1"/>
  <c r="C264" i="17"/>
  <c r="E312" i="6" s="1"/>
  <c r="C258" i="17"/>
  <c r="E306" i="6" s="1"/>
  <c r="C252" i="17"/>
  <c r="E300" i="6" s="1"/>
  <c r="C246" i="17"/>
  <c r="E294" i="6" s="1"/>
  <c r="C240" i="17"/>
  <c r="E288" i="6" s="1"/>
  <c r="C234" i="17"/>
  <c r="E282" i="6" s="1"/>
  <c r="O282" i="6" s="1"/>
  <c r="C228" i="17"/>
  <c r="E276" i="6" s="1"/>
  <c r="C222" i="17"/>
  <c r="E270" i="6" s="1"/>
  <c r="C216" i="17"/>
  <c r="E264" i="6" s="1"/>
  <c r="C210" i="17"/>
  <c r="E258" i="6" s="1"/>
  <c r="C204" i="17"/>
  <c r="E252" i="6" s="1"/>
  <c r="C198" i="17"/>
  <c r="E246" i="6" s="1"/>
  <c r="O246" i="6" s="1"/>
  <c r="C192" i="17"/>
  <c r="E240" i="6" s="1"/>
  <c r="C186" i="17"/>
  <c r="E234" i="6" s="1"/>
  <c r="C180" i="17"/>
  <c r="E228" i="6" s="1"/>
  <c r="C174" i="17"/>
  <c r="E222" i="6" s="1"/>
  <c r="C168" i="17"/>
  <c r="E216" i="6" s="1"/>
  <c r="C162" i="17"/>
  <c r="E210" i="6" s="1"/>
  <c r="O210" i="6" s="1"/>
  <c r="C156" i="17"/>
  <c r="E204" i="6" s="1"/>
  <c r="C150" i="17"/>
  <c r="E198" i="6" s="1"/>
  <c r="C144" i="17"/>
  <c r="E192" i="6" s="1"/>
  <c r="C138" i="17"/>
  <c r="E186" i="6" s="1"/>
  <c r="C132" i="17"/>
  <c r="E180" i="6" s="1"/>
  <c r="C126" i="17"/>
  <c r="E174" i="6" s="1"/>
  <c r="O174" i="6" s="1"/>
  <c r="C120" i="17"/>
  <c r="E168" i="6" s="1"/>
  <c r="C114" i="17"/>
  <c r="E162" i="6" s="1"/>
  <c r="C108" i="17"/>
  <c r="E156" i="6" s="1"/>
  <c r="C102" i="17"/>
  <c r="E150" i="6" s="1"/>
  <c r="C96" i="17"/>
  <c r="E144" i="6" s="1"/>
  <c r="C90" i="17"/>
  <c r="E138" i="6" s="1"/>
  <c r="O138" i="6" s="1"/>
  <c r="C84" i="17"/>
  <c r="E132" i="6" s="1"/>
  <c r="C78" i="17"/>
  <c r="E126" i="6" s="1"/>
  <c r="C72" i="17"/>
  <c r="E120" i="6" s="1"/>
  <c r="C66" i="17"/>
  <c r="E114" i="6" s="1"/>
  <c r="C60" i="17"/>
  <c r="E108" i="6" s="1"/>
  <c r="C54" i="17"/>
  <c r="E102" i="6" s="1"/>
  <c r="O102" i="6" s="1"/>
  <c r="C48" i="17"/>
  <c r="E96" i="6" s="1"/>
  <c r="C42" i="17"/>
  <c r="E90" i="6" s="1"/>
  <c r="C36" i="17"/>
  <c r="E84" i="6" s="1"/>
  <c r="C30" i="17"/>
  <c r="E78" i="6" s="1"/>
  <c r="C24" i="17"/>
  <c r="E72" i="6" s="1"/>
  <c r="AD402" i="16"/>
  <c r="I450" i="6" s="1"/>
  <c r="AD396" i="16"/>
  <c r="I444" i="6" s="1"/>
  <c r="AD390" i="16"/>
  <c r="I438" i="6" s="1"/>
  <c r="AD384" i="16"/>
  <c r="I432" i="6" s="1"/>
  <c r="AD378" i="16"/>
  <c r="I426" i="6" s="1"/>
  <c r="AD372" i="16"/>
  <c r="I420" i="6" s="1"/>
  <c r="AD366" i="16"/>
  <c r="I414" i="6" s="1"/>
  <c r="AD360" i="16"/>
  <c r="I408" i="6" s="1"/>
  <c r="AD354" i="16"/>
  <c r="I402" i="6" s="1"/>
  <c r="AD348" i="16"/>
  <c r="I396" i="6" s="1"/>
  <c r="AD342" i="16"/>
  <c r="I390" i="6" s="1"/>
  <c r="AD336" i="16"/>
  <c r="I384" i="6" s="1"/>
  <c r="AD330" i="16"/>
  <c r="I378" i="6" s="1"/>
  <c r="AD324" i="16"/>
  <c r="I372" i="6" s="1"/>
  <c r="AD318" i="16"/>
  <c r="I366" i="6" s="1"/>
  <c r="AD312" i="16"/>
  <c r="I360" i="6" s="1"/>
  <c r="AD306" i="16"/>
  <c r="I354" i="6" s="1"/>
  <c r="AD300" i="16"/>
  <c r="I348" i="6" s="1"/>
  <c r="AD294" i="16"/>
  <c r="I342" i="6" s="1"/>
  <c r="AD288" i="16"/>
  <c r="I336" i="6" s="1"/>
  <c r="AD282" i="16"/>
  <c r="I330" i="6" s="1"/>
  <c r="AD276" i="16"/>
  <c r="I324" i="6" s="1"/>
  <c r="AD270" i="16"/>
  <c r="I318" i="6" s="1"/>
  <c r="AD264" i="16"/>
  <c r="I312" i="6" s="1"/>
  <c r="AD258" i="16"/>
  <c r="I306" i="6" s="1"/>
  <c r="AD252" i="16"/>
  <c r="I300" i="6" s="1"/>
  <c r="AD246" i="16"/>
  <c r="I294" i="6" s="1"/>
  <c r="AD240" i="16"/>
  <c r="I288" i="6" s="1"/>
  <c r="AD234" i="16"/>
  <c r="I282" i="6" s="1"/>
  <c r="AD228" i="16"/>
  <c r="I276" i="6" s="1"/>
  <c r="AD222" i="16"/>
  <c r="I270" i="6" s="1"/>
  <c r="AD216" i="16"/>
  <c r="I264" i="6" s="1"/>
  <c r="AD210" i="16"/>
  <c r="I258" i="6" s="1"/>
  <c r="AD204" i="16"/>
  <c r="I252" i="6" s="1"/>
  <c r="AD198" i="16"/>
  <c r="I246" i="6" s="1"/>
  <c r="AD192" i="16"/>
  <c r="I240" i="6" s="1"/>
  <c r="AD186" i="16"/>
  <c r="I234" i="6" s="1"/>
  <c r="AD180" i="16"/>
  <c r="I228" i="6" s="1"/>
  <c r="AD174" i="16"/>
  <c r="I222" i="6" s="1"/>
  <c r="AD168" i="16"/>
  <c r="I216" i="6" s="1"/>
  <c r="AD162" i="16"/>
  <c r="I210" i="6" s="1"/>
  <c r="AD156" i="16"/>
  <c r="I204" i="6" s="1"/>
  <c r="AD150" i="16"/>
  <c r="I198" i="6" s="1"/>
  <c r="AD286" i="17"/>
  <c r="J334" i="6" s="1"/>
  <c r="AD268" i="17"/>
  <c r="J316" i="6" s="1"/>
  <c r="AD250" i="17"/>
  <c r="J298" i="6" s="1"/>
  <c r="AD232" i="17"/>
  <c r="J280" i="6" s="1"/>
  <c r="AD214" i="17"/>
  <c r="J262" i="6" s="1"/>
  <c r="AD196" i="17"/>
  <c r="J244" i="6" s="1"/>
  <c r="AD178" i="17"/>
  <c r="J226" i="6" s="1"/>
  <c r="AD160" i="17"/>
  <c r="J208" i="6" s="1"/>
  <c r="AD142" i="17"/>
  <c r="J190" i="6" s="1"/>
  <c r="AD124" i="17"/>
  <c r="J172" i="6" s="1"/>
  <c r="AD106" i="17"/>
  <c r="J154" i="6" s="1"/>
  <c r="AD88" i="17"/>
  <c r="J136" i="6" s="1"/>
  <c r="AD70" i="17"/>
  <c r="J118" i="6" s="1"/>
  <c r="AD52" i="17"/>
  <c r="J100" i="6" s="1"/>
  <c r="AD34" i="17"/>
  <c r="J82" i="6" s="1"/>
  <c r="C400" i="17"/>
  <c r="E448" i="6" s="1"/>
  <c r="C382" i="17"/>
  <c r="E430" i="6" s="1"/>
  <c r="O430" i="6" s="1"/>
  <c r="C364" i="17"/>
  <c r="E412" i="6" s="1"/>
  <c r="O412" i="6" s="1"/>
  <c r="C346" i="17"/>
  <c r="E394" i="6" s="1"/>
  <c r="O394" i="6" s="1"/>
  <c r="C328" i="17"/>
  <c r="E376" i="6" s="1"/>
  <c r="C310" i="17"/>
  <c r="E358" i="6" s="1"/>
  <c r="O358" i="6" s="1"/>
  <c r="C292" i="17"/>
  <c r="E340" i="6" s="1"/>
  <c r="C274" i="17"/>
  <c r="E322" i="6" s="1"/>
  <c r="C256" i="17"/>
  <c r="E304" i="6" s="1"/>
  <c r="C238" i="17"/>
  <c r="E286" i="6" s="1"/>
  <c r="C220" i="17"/>
  <c r="E268" i="6" s="1"/>
  <c r="C202" i="17"/>
  <c r="E250" i="6" s="1"/>
  <c r="C184" i="17"/>
  <c r="E232" i="6" s="1"/>
  <c r="C166" i="17"/>
  <c r="E214" i="6" s="1"/>
  <c r="C148" i="17"/>
  <c r="E196" i="6" s="1"/>
  <c r="C130" i="17"/>
  <c r="E178" i="6" s="1"/>
  <c r="C112" i="17"/>
  <c r="E160" i="6" s="1"/>
  <c r="C94" i="17"/>
  <c r="E142" i="6" s="1"/>
  <c r="C76" i="17"/>
  <c r="E124" i="6" s="1"/>
  <c r="C58" i="17"/>
  <c r="E106" i="6" s="1"/>
  <c r="C40" i="17"/>
  <c r="E88" i="6" s="1"/>
  <c r="C22" i="17"/>
  <c r="E70" i="6" s="1"/>
  <c r="AD388" i="16"/>
  <c r="I436" i="6" s="1"/>
  <c r="AD370" i="16"/>
  <c r="I418" i="6" s="1"/>
  <c r="AD352" i="16"/>
  <c r="I400" i="6" s="1"/>
  <c r="AD334" i="16"/>
  <c r="I382" i="6" s="1"/>
  <c r="AD316" i="16"/>
  <c r="I364" i="6" s="1"/>
  <c r="AD298" i="16"/>
  <c r="I346" i="6" s="1"/>
  <c r="AD280" i="16"/>
  <c r="I328" i="6" s="1"/>
  <c r="AD262" i="16"/>
  <c r="I310" i="6" s="1"/>
  <c r="AD244" i="16"/>
  <c r="I292" i="6" s="1"/>
  <c r="AD226" i="16"/>
  <c r="I274" i="6" s="1"/>
  <c r="AD208" i="16"/>
  <c r="I256" i="6" s="1"/>
  <c r="AD190" i="16"/>
  <c r="I238" i="6" s="1"/>
  <c r="AD172" i="16"/>
  <c r="I220" i="6" s="1"/>
  <c r="AD154" i="16"/>
  <c r="I202" i="6" s="1"/>
  <c r="AD139" i="16"/>
  <c r="I187" i="6" s="1"/>
  <c r="AD131" i="16"/>
  <c r="I179" i="6" s="1"/>
  <c r="AD121" i="16"/>
  <c r="I169" i="6" s="1"/>
  <c r="AD113" i="16"/>
  <c r="I161" i="6" s="1"/>
  <c r="AD103" i="16"/>
  <c r="I151" i="6" s="1"/>
  <c r="AD95" i="16"/>
  <c r="I143" i="6" s="1"/>
  <c r="AD85" i="16"/>
  <c r="I133" i="6" s="1"/>
  <c r="AD77" i="16"/>
  <c r="I125" i="6" s="1"/>
  <c r="AD67" i="16"/>
  <c r="I115" i="6" s="1"/>
  <c r="AD59" i="16"/>
  <c r="I107" i="6" s="1"/>
  <c r="AD52" i="16"/>
  <c r="I100" i="6" s="1"/>
  <c r="AD44" i="16"/>
  <c r="I92" i="6" s="1"/>
  <c r="AD38" i="16"/>
  <c r="I86" i="6" s="1"/>
  <c r="AD32" i="16"/>
  <c r="I80" i="6" s="1"/>
  <c r="AD26" i="16"/>
  <c r="I74" i="6" s="1"/>
  <c r="AD20" i="16"/>
  <c r="I68" i="6" s="1"/>
  <c r="C398" i="16"/>
  <c r="D446" i="6" s="1"/>
  <c r="C392" i="16"/>
  <c r="D440" i="6" s="1"/>
  <c r="C386" i="16"/>
  <c r="D434" i="6" s="1"/>
  <c r="C380" i="16"/>
  <c r="D428" i="6" s="1"/>
  <c r="C374" i="16"/>
  <c r="D422" i="6" s="1"/>
  <c r="C368" i="16"/>
  <c r="D416" i="6" s="1"/>
  <c r="C362" i="16"/>
  <c r="D410" i="6" s="1"/>
  <c r="C356" i="16"/>
  <c r="D404" i="6" s="1"/>
  <c r="C350" i="16"/>
  <c r="D398" i="6" s="1"/>
  <c r="C344" i="16"/>
  <c r="D392" i="6" s="1"/>
  <c r="C338" i="16"/>
  <c r="D386" i="6" s="1"/>
  <c r="C332" i="16"/>
  <c r="D380" i="6" s="1"/>
  <c r="C326" i="16"/>
  <c r="D374" i="6" s="1"/>
  <c r="C320" i="16"/>
  <c r="D368" i="6" s="1"/>
  <c r="C314" i="16"/>
  <c r="D362" i="6" s="1"/>
  <c r="C308" i="16"/>
  <c r="D356" i="6" s="1"/>
  <c r="C302" i="16"/>
  <c r="D350" i="6" s="1"/>
  <c r="C296" i="16"/>
  <c r="D344" i="6" s="1"/>
  <c r="C290" i="16"/>
  <c r="D338" i="6" s="1"/>
  <c r="C284" i="16"/>
  <c r="D332" i="6" s="1"/>
  <c r="C278" i="16"/>
  <c r="D326" i="6" s="1"/>
  <c r="C272" i="16"/>
  <c r="D320" i="6" s="1"/>
  <c r="C266" i="16"/>
  <c r="D314" i="6" s="1"/>
  <c r="C260" i="16"/>
  <c r="D308" i="6" s="1"/>
  <c r="C254" i="16"/>
  <c r="D302" i="6" s="1"/>
  <c r="C248" i="16"/>
  <c r="D296" i="6" s="1"/>
  <c r="C242" i="16"/>
  <c r="D290" i="6" s="1"/>
  <c r="C236" i="16"/>
  <c r="D284" i="6" s="1"/>
  <c r="C230" i="16"/>
  <c r="D278" i="6" s="1"/>
  <c r="C224" i="16"/>
  <c r="D272" i="6" s="1"/>
  <c r="C218" i="16"/>
  <c r="D266" i="6" s="1"/>
  <c r="C212" i="16"/>
  <c r="D260" i="6" s="1"/>
  <c r="C206" i="16"/>
  <c r="D254" i="6" s="1"/>
  <c r="C200" i="16"/>
  <c r="D248" i="6" s="1"/>
  <c r="C194" i="16"/>
  <c r="D242" i="6" s="1"/>
  <c r="C188" i="16"/>
  <c r="D236" i="6" s="1"/>
  <c r="C182" i="16"/>
  <c r="D230" i="6" s="1"/>
  <c r="C176" i="16"/>
  <c r="D224" i="6" s="1"/>
  <c r="C170" i="16"/>
  <c r="D218" i="6" s="1"/>
  <c r="C164" i="16"/>
  <c r="D212" i="6" s="1"/>
  <c r="C158" i="16"/>
  <c r="D206" i="6" s="1"/>
  <c r="C152" i="16"/>
  <c r="D200" i="6" s="1"/>
  <c r="C146" i="16"/>
  <c r="D194" i="6" s="1"/>
  <c r="C140" i="16"/>
  <c r="D188" i="6" s="1"/>
  <c r="C134" i="16"/>
  <c r="D182" i="6" s="1"/>
  <c r="C128" i="16"/>
  <c r="D176" i="6" s="1"/>
  <c r="C122" i="16"/>
  <c r="D170" i="6" s="1"/>
  <c r="C116" i="16"/>
  <c r="D164" i="6" s="1"/>
  <c r="C110" i="16"/>
  <c r="D158" i="6" s="1"/>
  <c r="C104" i="16"/>
  <c r="D152" i="6" s="1"/>
  <c r="C98" i="16"/>
  <c r="D146" i="6" s="1"/>
  <c r="C92" i="16"/>
  <c r="D140" i="6" s="1"/>
  <c r="C86" i="16"/>
  <c r="D134" i="6" s="1"/>
  <c r="C80" i="16"/>
  <c r="D128" i="6" s="1"/>
  <c r="C74" i="16"/>
  <c r="D122" i="6" s="1"/>
  <c r="C68" i="16"/>
  <c r="D116" i="6" s="1"/>
  <c r="C62" i="16"/>
  <c r="D110" i="6" s="1"/>
  <c r="C56" i="16"/>
  <c r="D104" i="6" s="1"/>
  <c r="C50" i="16"/>
  <c r="D98" i="6" s="1"/>
  <c r="C44" i="16"/>
  <c r="D92" i="6" s="1"/>
  <c r="N92" i="6" s="1"/>
  <c r="C38" i="16"/>
  <c r="D86" i="6" s="1"/>
  <c r="C32" i="16"/>
  <c r="D80" i="6" s="1"/>
  <c r="C26" i="16"/>
  <c r="D74" i="6" s="1"/>
  <c r="C20" i="16"/>
  <c r="D68" i="6" s="1"/>
  <c r="AD400" i="15"/>
  <c r="AD394" i="15"/>
  <c r="AD388" i="15"/>
  <c r="AD382" i="15"/>
  <c r="AD376" i="15"/>
  <c r="AD370" i="15"/>
  <c r="AD364" i="15"/>
  <c r="AD358" i="15"/>
  <c r="AD352" i="15"/>
  <c r="AD346" i="15"/>
  <c r="AD340" i="15"/>
  <c r="AD334" i="15"/>
  <c r="AD328" i="15"/>
  <c r="AD322" i="15"/>
  <c r="AD316" i="15"/>
  <c r="AD310" i="15"/>
  <c r="AD304" i="15"/>
  <c r="AD298" i="15"/>
  <c r="AD292" i="15"/>
  <c r="AD286" i="15"/>
  <c r="AD280" i="15"/>
  <c r="AD274" i="15"/>
  <c r="AD268" i="15"/>
  <c r="AD262" i="15"/>
  <c r="AD256" i="15"/>
  <c r="AD250" i="15"/>
  <c r="AD244" i="15"/>
  <c r="AD238" i="15"/>
  <c r="AD232" i="15"/>
  <c r="AD226" i="15"/>
  <c r="AD220" i="15"/>
  <c r="AD214" i="15"/>
  <c r="AD208" i="15"/>
  <c r="AD202" i="15"/>
  <c r="AD196" i="15"/>
  <c r="AD190" i="15"/>
  <c r="AD184" i="15"/>
  <c r="AD178" i="15"/>
  <c r="AD172" i="15"/>
  <c r="AD166" i="15"/>
  <c r="AD160" i="15"/>
  <c r="AD154" i="15"/>
  <c r="AD148" i="15"/>
  <c r="AD142" i="15"/>
  <c r="AD136" i="15"/>
  <c r="AD130" i="15"/>
  <c r="AD124" i="15"/>
  <c r="AD118" i="15"/>
  <c r="AD112" i="15"/>
  <c r="AD106" i="15"/>
  <c r="AD100" i="15"/>
  <c r="AD94" i="15"/>
  <c r="AD88" i="15"/>
  <c r="AD82" i="15"/>
  <c r="AD76" i="15"/>
  <c r="AD70" i="15"/>
  <c r="AD64" i="15"/>
  <c r="AD58" i="15"/>
  <c r="AD51" i="15"/>
  <c r="AD45" i="15"/>
  <c r="AD39" i="15"/>
  <c r="AD33" i="15"/>
  <c r="AD27" i="15"/>
  <c r="AD21" i="15"/>
  <c r="C62" i="15"/>
  <c r="AD281" i="17"/>
  <c r="J329" i="6" s="1"/>
  <c r="AD263" i="17"/>
  <c r="J311" i="6" s="1"/>
  <c r="AD245" i="17"/>
  <c r="J293" i="6" s="1"/>
  <c r="AD227" i="17"/>
  <c r="J275" i="6" s="1"/>
  <c r="AD209" i="17"/>
  <c r="J257" i="6" s="1"/>
  <c r="AD191" i="17"/>
  <c r="J239" i="6" s="1"/>
  <c r="AD173" i="17"/>
  <c r="J221" i="6" s="1"/>
  <c r="AD155" i="17"/>
  <c r="J203" i="6" s="1"/>
  <c r="AD137" i="17"/>
  <c r="J185" i="6" s="1"/>
  <c r="AD119" i="17"/>
  <c r="J167" i="6" s="1"/>
  <c r="AD101" i="17"/>
  <c r="J149" i="6" s="1"/>
  <c r="AD83" i="17"/>
  <c r="J131" i="6" s="1"/>
  <c r="AD65" i="17"/>
  <c r="J113" i="6" s="1"/>
  <c r="AD47" i="17"/>
  <c r="J95" i="6" s="1"/>
  <c r="AD29" i="17"/>
  <c r="J77" i="6" s="1"/>
  <c r="C395" i="17"/>
  <c r="E443" i="6" s="1"/>
  <c r="C377" i="17"/>
  <c r="E425" i="6" s="1"/>
  <c r="O425" i="6" s="1"/>
  <c r="C359" i="17"/>
  <c r="E407" i="6" s="1"/>
  <c r="C341" i="17"/>
  <c r="E389" i="6" s="1"/>
  <c r="O389" i="6" s="1"/>
  <c r="C323" i="17"/>
  <c r="E371" i="6" s="1"/>
  <c r="O371" i="6" s="1"/>
  <c r="C305" i="17"/>
  <c r="E353" i="6" s="1"/>
  <c r="O353" i="6" s="1"/>
  <c r="C287" i="17"/>
  <c r="E335" i="6" s="1"/>
  <c r="C269" i="17"/>
  <c r="E317" i="6" s="1"/>
  <c r="C251" i="17"/>
  <c r="E299" i="6" s="1"/>
  <c r="C233" i="17"/>
  <c r="E281" i="6" s="1"/>
  <c r="C215" i="17"/>
  <c r="E263" i="6" s="1"/>
  <c r="C197" i="17"/>
  <c r="E245" i="6" s="1"/>
  <c r="C179" i="17"/>
  <c r="E227" i="6" s="1"/>
  <c r="C161" i="17"/>
  <c r="E209" i="6" s="1"/>
  <c r="C143" i="17"/>
  <c r="E191" i="6" s="1"/>
  <c r="C125" i="17"/>
  <c r="E173" i="6" s="1"/>
  <c r="C107" i="17"/>
  <c r="E155" i="6" s="1"/>
  <c r="C89" i="17"/>
  <c r="E137" i="6" s="1"/>
  <c r="C71" i="17"/>
  <c r="E119" i="6" s="1"/>
  <c r="C53" i="17"/>
  <c r="E101" i="6" s="1"/>
  <c r="C35" i="17"/>
  <c r="E83" i="6" s="1"/>
  <c r="AD401" i="16"/>
  <c r="I449" i="6" s="1"/>
  <c r="AD383" i="16"/>
  <c r="I431" i="6" s="1"/>
  <c r="AD365" i="16"/>
  <c r="I413" i="6" s="1"/>
  <c r="AD347" i="16"/>
  <c r="I395" i="6" s="1"/>
  <c r="AD329" i="16"/>
  <c r="I377" i="6" s="1"/>
  <c r="AD311" i="16"/>
  <c r="I359" i="6" s="1"/>
  <c r="AD293" i="16"/>
  <c r="I341" i="6" s="1"/>
  <c r="AD275" i="16"/>
  <c r="I323" i="6" s="1"/>
  <c r="AD257" i="16"/>
  <c r="I305" i="6" s="1"/>
  <c r="AD239" i="16"/>
  <c r="I287" i="6" s="1"/>
  <c r="AD221" i="16"/>
  <c r="I269" i="6" s="1"/>
  <c r="AD203" i="16"/>
  <c r="I251" i="6" s="1"/>
  <c r="AD185" i="16"/>
  <c r="I233" i="6" s="1"/>
  <c r="AD167" i="16"/>
  <c r="I215" i="6" s="1"/>
  <c r="AD149" i="16"/>
  <c r="I197" i="6" s="1"/>
  <c r="AD138" i="16"/>
  <c r="I186" i="6" s="1"/>
  <c r="AD130" i="16"/>
  <c r="I178" i="6" s="1"/>
  <c r="AD120" i="16"/>
  <c r="I168" i="6" s="1"/>
  <c r="AD112" i="16"/>
  <c r="I160" i="6" s="1"/>
  <c r="AD102" i="16"/>
  <c r="I150" i="6" s="1"/>
  <c r="AD94" i="16"/>
  <c r="I142" i="6" s="1"/>
  <c r="AD84" i="16"/>
  <c r="I132" i="6" s="1"/>
  <c r="AD76" i="16"/>
  <c r="I124" i="6" s="1"/>
  <c r="AD66" i="16"/>
  <c r="I114" i="6" s="1"/>
  <c r="AD58" i="16"/>
  <c r="I106" i="6" s="1"/>
  <c r="AD50" i="16"/>
  <c r="I98" i="6" s="1"/>
  <c r="AD43" i="16"/>
  <c r="I91" i="6" s="1"/>
  <c r="AD37" i="16"/>
  <c r="I85" i="6" s="1"/>
  <c r="AD31" i="16"/>
  <c r="I79" i="6" s="1"/>
  <c r="AD25" i="16"/>
  <c r="I73" i="6" s="1"/>
  <c r="C403" i="16"/>
  <c r="D451" i="6" s="1"/>
  <c r="N451" i="6" s="1"/>
  <c r="C397" i="16"/>
  <c r="D445" i="6" s="1"/>
  <c r="C391" i="16"/>
  <c r="D439" i="6" s="1"/>
  <c r="C385" i="16"/>
  <c r="D433" i="6" s="1"/>
  <c r="C379" i="16"/>
  <c r="D427" i="6" s="1"/>
  <c r="C373" i="16"/>
  <c r="D421" i="6" s="1"/>
  <c r="C367" i="16"/>
  <c r="D415" i="6" s="1"/>
  <c r="C361" i="16"/>
  <c r="D409" i="6" s="1"/>
  <c r="C355" i="16"/>
  <c r="D403" i="6" s="1"/>
  <c r="C349" i="16"/>
  <c r="D397" i="6" s="1"/>
  <c r="C343" i="16"/>
  <c r="D391" i="6" s="1"/>
  <c r="C337" i="16"/>
  <c r="D385" i="6" s="1"/>
  <c r="C331" i="16"/>
  <c r="D379" i="6" s="1"/>
  <c r="C325" i="16"/>
  <c r="D373" i="6" s="1"/>
  <c r="C319" i="16"/>
  <c r="D367" i="6" s="1"/>
  <c r="C313" i="16"/>
  <c r="D361" i="6" s="1"/>
  <c r="C307" i="16"/>
  <c r="D355" i="6" s="1"/>
  <c r="C301" i="16"/>
  <c r="D349" i="6" s="1"/>
  <c r="C295" i="16"/>
  <c r="D343" i="6" s="1"/>
  <c r="C289" i="16"/>
  <c r="D337" i="6" s="1"/>
  <c r="C283" i="16"/>
  <c r="D331" i="6" s="1"/>
  <c r="C277" i="16"/>
  <c r="D325" i="6" s="1"/>
  <c r="C271" i="16"/>
  <c r="D319" i="6" s="1"/>
  <c r="C265" i="16"/>
  <c r="D313" i="6" s="1"/>
  <c r="C259" i="16"/>
  <c r="D307" i="6" s="1"/>
  <c r="C253" i="16"/>
  <c r="D301" i="6" s="1"/>
  <c r="C247" i="16"/>
  <c r="D295" i="6" s="1"/>
  <c r="C241" i="16"/>
  <c r="D289" i="6" s="1"/>
  <c r="C235" i="16"/>
  <c r="D283" i="6" s="1"/>
  <c r="C229" i="16"/>
  <c r="D277" i="6" s="1"/>
  <c r="C223" i="16"/>
  <c r="D271" i="6" s="1"/>
  <c r="C217" i="16"/>
  <c r="D265" i="6" s="1"/>
  <c r="C211" i="16"/>
  <c r="D259" i="6" s="1"/>
  <c r="C205" i="16"/>
  <c r="D253" i="6" s="1"/>
  <c r="C199" i="16"/>
  <c r="D247" i="6" s="1"/>
  <c r="C193" i="16"/>
  <c r="D241" i="6" s="1"/>
  <c r="C187" i="16"/>
  <c r="D235" i="6" s="1"/>
  <c r="C181" i="16"/>
  <c r="D229" i="6" s="1"/>
  <c r="C175" i="16"/>
  <c r="D223" i="6" s="1"/>
  <c r="C169" i="16"/>
  <c r="D217" i="6" s="1"/>
  <c r="C163" i="16"/>
  <c r="D211" i="6" s="1"/>
  <c r="C157" i="16"/>
  <c r="D205" i="6" s="1"/>
  <c r="C151" i="16"/>
  <c r="D199" i="6" s="1"/>
  <c r="C145" i="16"/>
  <c r="D193" i="6" s="1"/>
  <c r="C139" i="16"/>
  <c r="D187" i="6" s="1"/>
  <c r="N187" i="6" s="1"/>
  <c r="C133" i="16"/>
  <c r="D181" i="6" s="1"/>
  <c r="C127" i="16"/>
  <c r="D175" i="6" s="1"/>
  <c r="C121" i="16"/>
  <c r="D169" i="6" s="1"/>
  <c r="C115" i="16"/>
  <c r="D163" i="6" s="1"/>
  <c r="C109" i="16"/>
  <c r="D157" i="6" s="1"/>
  <c r="C103" i="16"/>
  <c r="D151" i="6" s="1"/>
  <c r="N151" i="6" s="1"/>
  <c r="C97" i="16"/>
  <c r="D145" i="6" s="1"/>
  <c r="C91" i="16"/>
  <c r="D139" i="6" s="1"/>
  <c r="C85" i="16"/>
  <c r="D133" i="6" s="1"/>
  <c r="N133" i="6" s="1"/>
  <c r="C79" i="16"/>
  <c r="D127" i="6" s="1"/>
  <c r="C73" i="16"/>
  <c r="D121" i="6" s="1"/>
  <c r="C67" i="16"/>
  <c r="D115" i="6" s="1"/>
  <c r="N115" i="6" s="1"/>
  <c r="C61" i="16"/>
  <c r="D109" i="6" s="1"/>
  <c r="C55" i="16"/>
  <c r="D103" i="6" s="1"/>
  <c r="C49" i="16"/>
  <c r="D97" i="6" s="1"/>
  <c r="C43" i="16"/>
  <c r="D91" i="6" s="1"/>
  <c r="C37" i="16"/>
  <c r="D85" i="6" s="1"/>
  <c r="C31" i="16"/>
  <c r="D79" i="6" s="1"/>
  <c r="C25" i="16"/>
  <c r="D73" i="6" s="1"/>
  <c r="AD54" i="15"/>
  <c r="AD399" i="15"/>
  <c r="AD393" i="15"/>
  <c r="AD387" i="15"/>
  <c r="AD381" i="15"/>
  <c r="AD375" i="15"/>
  <c r="AD369" i="15"/>
  <c r="AD363" i="15"/>
  <c r="AD357" i="15"/>
  <c r="AD280" i="17"/>
  <c r="J328" i="6" s="1"/>
  <c r="AD262" i="17"/>
  <c r="J310" i="6" s="1"/>
  <c r="AD244" i="17"/>
  <c r="J292" i="6" s="1"/>
  <c r="AD226" i="17"/>
  <c r="J274" i="6" s="1"/>
  <c r="AD208" i="17"/>
  <c r="J256" i="6" s="1"/>
  <c r="AD190" i="17"/>
  <c r="J238" i="6" s="1"/>
  <c r="AD172" i="17"/>
  <c r="J220" i="6" s="1"/>
  <c r="AD154" i="17"/>
  <c r="J202" i="6" s="1"/>
  <c r="AD136" i="17"/>
  <c r="J184" i="6" s="1"/>
  <c r="AD118" i="17"/>
  <c r="J166" i="6" s="1"/>
  <c r="AD100" i="17"/>
  <c r="J148" i="6" s="1"/>
  <c r="AD82" i="17"/>
  <c r="J130" i="6" s="1"/>
  <c r="AD64" i="17"/>
  <c r="J112" i="6" s="1"/>
  <c r="AD46" i="17"/>
  <c r="J94" i="6" s="1"/>
  <c r="AD28" i="17"/>
  <c r="J76" i="6" s="1"/>
  <c r="C394" i="17"/>
  <c r="E442" i="6" s="1"/>
  <c r="C376" i="17"/>
  <c r="E424" i="6" s="1"/>
  <c r="O424" i="6" s="1"/>
  <c r="C358" i="17"/>
  <c r="E406" i="6" s="1"/>
  <c r="C340" i="17"/>
  <c r="E388" i="6" s="1"/>
  <c r="O388" i="6" s="1"/>
  <c r="C322" i="17"/>
  <c r="E370" i="6" s="1"/>
  <c r="O370" i="6" s="1"/>
  <c r="C304" i="17"/>
  <c r="E352" i="6" s="1"/>
  <c r="O352" i="6" s="1"/>
  <c r="C286" i="17"/>
  <c r="E334" i="6" s="1"/>
  <c r="C268" i="17"/>
  <c r="E316" i="6" s="1"/>
  <c r="C250" i="17"/>
  <c r="E298" i="6" s="1"/>
  <c r="C232" i="17"/>
  <c r="E280" i="6" s="1"/>
  <c r="C214" i="17"/>
  <c r="E262" i="6" s="1"/>
  <c r="C196" i="17"/>
  <c r="E244" i="6" s="1"/>
  <c r="C178" i="17"/>
  <c r="E226" i="6" s="1"/>
  <c r="C160" i="17"/>
  <c r="E208" i="6" s="1"/>
  <c r="C142" i="17"/>
  <c r="E190" i="6" s="1"/>
  <c r="C124" i="17"/>
  <c r="E172" i="6" s="1"/>
  <c r="C106" i="17"/>
  <c r="E154" i="6" s="1"/>
  <c r="C88" i="17"/>
  <c r="E136" i="6" s="1"/>
  <c r="C70" i="17"/>
  <c r="E118" i="6" s="1"/>
  <c r="C52" i="17"/>
  <c r="E100" i="6" s="1"/>
  <c r="C34" i="17"/>
  <c r="E82" i="6" s="1"/>
  <c r="AD400" i="16"/>
  <c r="I448" i="6" s="1"/>
  <c r="AD382" i="16"/>
  <c r="I430" i="6" s="1"/>
  <c r="AD364" i="16"/>
  <c r="I412" i="6" s="1"/>
  <c r="AD346" i="16"/>
  <c r="I394" i="6" s="1"/>
  <c r="AD328" i="16"/>
  <c r="I376" i="6" s="1"/>
  <c r="AD310" i="16"/>
  <c r="I358" i="6" s="1"/>
  <c r="AD292" i="16"/>
  <c r="I340" i="6" s="1"/>
  <c r="AD274" i="16"/>
  <c r="I322" i="6" s="1"/>
  <c r="AD256" i="16"/>
  <c r="I304" i="6" s="1"/>
  <c r="AD238" i="16"/>
  <c r="I286" i="6" s="1"/>
  <c r="AD220" i="16"/>
  <c r="I268" i="6" s="1"/>
  <c r="AD202" i="16"/>
  <c r="I250" i="6" s="1"/>
  <c r="AD184" i="16"/>
  <c r="I232" i="6" s="1"/>
  <c r="AD166" i="16"/>
  <c r="I214" i="6" s="1"/>
  <c r="AD148" i="16"/>
  <c r="I196" i="6" s="1"/>
  <c r="AD137" i="16"/>
  <c r="I185" i="6" s="1"/>
  <c r="AD127" i="16"/>
  <c r="I175" i="6" s="1"/>
  <c r="AD119" i="16"/>
  <c r="I167" i="6" s="1"/>
  <c r="AD109" i="16"/>
  <c r="I157" i="6" s="1"/>
  <c r="AD101" i="16"/>
  <c r="I149" i="6" s="1"/>
  <c r="AD91" i="16"/>
  <c r="I139" i="6" s="1"/>
  <c r="AD83" i="16"/>
  <c r="I131" i="6" s="1"/>
  <c r="AD73" i="16"/>
  <c r="I121" i="6" s="1"/>
  <c r="AD65" i="16"/>
  <c r="I113" i="6" s="1"/>
  <c r="AD56" i="16"/>
  <c r="I104" i="6" s="1"/>
  <c r="AD49" i="16"/>
  <c r="I97" i="6" s="1"/>
  <c r="AD42" i="16"/>
  <c r="I90" i="6" s="1"/>
  <c r="AD36" i="16"/>
  <c r="I84" i="6" s="1"/>
  <c r="AD30" i="16"/>
  <c r="I78" i="6" s="1"/>
  <c r="AD24" i="16"/>
  <c r="I72" i="6" s="1"/>
  <c r="C402" i="16"/>
  <c r="D450" i="6" s="1"/>
  <c r="C396" i="16"/>
  <c r="D444" i="6" s="1"/>
  <c r="C390" i="16"/>
  <c r="D438" i="6" s="1"/>
  <c r="C384" i="16"/>
  <c r="D432" i="6" s="1"/>
  <c r="C378" i="16"/>
  <c r="D426" i="6" s="1"/>
  <c r="C372" i="16"/>
  <c r="D420" i="6" s="1"/>
  <c r="C366" i="16"/>
  <c r="D414" i="6" s="1"/>
  <c r="C360" i="16"/>
  <c r="D408" i="6" s="1"/>
  <c r="C354" i="16"/>
  <c r="D402" i="6" s="1"/>
  <c r="C348" i="16"/>
  <c r="D396" i="6" s="1"/>
  <c r="C342" i="16"/>
  <c r="D390" i="6" s="1"/>
  <c r="C336" i="16"/>
  <c r="D384" i="6" s="1"/>
  <c r="C330" i="16"/>
  <c r="D378" i="6" s="1"/>
  <c r="C324" i="16"/>
  <c r="D372" i="6" s="1"/>
  <c r="C318" i="16"/>
  <c r="D366" i="6" s="1"/>
  <c r="C312" i="16"/>
  <c r="D360" i="6" s="1"/>
  <c r="C306" i="16"/>
  <c r="D354" i="6" s="1"/>
  <c r="C300" i="16"/>
  <c r="D348" i="6" s="1"/>
  <c r="C294" i="16"/>
  <c r="D342" i="6" s="1"/>
  <c r="C288" i="16"/>
  <c r="D336" i="6" s="1"/>
  <c r="C282" i="16"/>
  <c r="D330" i="6" s="1"/>
  <c r="C276" i="16"/>
  <c r="D324" i="6" s="1"/>
  <c r="C270" i="16"/>
  <c r="D318" i="6" s="1"/>
  <c r="C264" i="16"/>
  <c r="D312" i="6" s="1"/>
  <c r="C258" i="16"/>
  <c r="D306" i="6" s="1"/>
  <c r="C252" i="16"/>
  <c r="D300" i="6" s="1"/>
  <c r="C246" i="16"/>
  <c r="D294" i="6" s="1"/>
  <c r="C240" i="16"/>
  <c r="D288" i="6" s="1"/>
  <c r="C234" i="16"/>
  <c r="D282" i="6" s="1"/>
  <c r="C228" i="16"/>
  <c r="D276" i="6" s="1"/>
  <c r="C222" i="16"/>
  <c r="D270" i="6" s="1"/>
  <c r="C216" i="16"/>
  <c r="D264" i="6" s="1"/>
  <c r="C210" i="16"/>
  <c r="D258" i="6" s="1"/>
  <c r="C204" i="16"/>
  <c r="D252" i="6" s="1"/>
  <c r="C198" i="16"/>
  <c r="D246" i="6" s="1"/>
  <c r="C192" i="16"/>
  <c r="D240" i="6" s="1"/>
  <c r="C186" i="16"/>
  <c r="D234" i="6" s="1"/>
  <c r="C180" i="16"/>
  <c r="D228" i="6" s="1"/>
  <c r="C174" i="16"/>
  <c r="D222" i="6" s="1"/>
  <c r="C168" i="16"/>
  <c r="D216" i="6" s="1"/>
  <c r="C162" i="16"/>
  <c r="D210" i="6" s="1"/>
  <c r="C156" i="16"/>
  <c r="D204" i="6" s="1"/>
  <c r="C150" i="16"/>
  <c r="D198" i="6" s="1"/>
  <c r="C144" i="16"/>
  <c r="D192" i="6" s="1"/>
  <c r="C138" i="16"/>
  <c r="D186" i="6" s="1"/>
  <c r="C132" i="16"/>
  <c r="D180" i="6" s="1"/>
  <c r="C126" i="16"/>
  <c r="D174" i="6" s="1"/>
  <c r="C120" i="16"/>
  <c r="D168" i="6" s="1"/>
  <c r="N168" i="6" s="1"/>
  <c r="C114" i="16"/>
  <c r="D162" i="6" s="1"/>
  <c r="C108" i="16"/>
  <c r="D156" i="6" s="1"/>
  <c r="C102" i="16"/>
  <c r="D150" i="6" s="1"/>
  <c r="C96" i="16"/>
  <c r="D144" i="6" s="1"/>
  <c r="C90" i="16"/>
  <c r="D138" i="6" s="1"/>
  <c r="C84" i="16"/>
  <c r="D132" i="6" s="1"/>
  <c r="N132" i="6" s="1"/>
  <c r="C78" i="16"/>
  <c r="D126" i="6" s="1"/>
  <c r="C72" i="16"/>
  <c r="D120" i="6" s="1"/>
  <c r="C66" i="16"/>
  <c r="D114" i="6" s="1"/>
  <c r="C60" i="16"/>
  <c r="D108" i="6" s="1"/>
  <c r="C54" i="16"/>
  <c r="D102" i="6" s="1"/>
  <c r="C48" i="16"/>
  <c r="D96" i="6" s="1"/>
  <c r="C42" i="16"/>
  <c r="D90" i="6" s="1"/>
  <c r="C36" i="16"/>
  <c r="D84" i="6" s="1"/>
  <c r="N84" i="6" s="1"/>
  <c r="C30" i="16"/>
  <c r="D78" i="6" s="1"/>
  <c r="C24" i="16"/>
  <c r="D72" i="6" s="1"/>
  <c r="AD20" i="15"/>
  <c r="AD398" i="15"/>
  <c r="AD392" i="15"/>
  <c r="AD386" i="15"/>
  <c r="AD380" i="15"/>
  <c r="AD374" i="15"/>
  <c r="AD368" i="15"/>
  <c r="AD362" i="15"/>
  <c r="AD296" i="17"/>
  <c r="J344" i="6" s="1"/>
  <c r="AD275" i="17"/>
  <c r="J323" i="6" s="1"/>
  <c r="AD257" i="17"/>
  <c r="J305" i="6" s="1"/>
  <c r="AD239" i="17"/>
  <c r="J287" i="6" s="1"/>
  <c r="AD221" i="17"/>
  <c r="J269" i="6" s="1"/>
  <c r="AD203" i="17"/>
  <c r="J251" i="6" s="1"/>
  <c r="AD185" i="17"/>
  <c r="J233" i="6" s="1"/>
  <c r="AD167" i="17"/>
  <c r="J215" i="6" s="1"/>
  <c r="AD149" i="17"/>
  <c r="J197" i="6" s="1"/>
  <c r="AD131" i="17"/>
  <c r="J179" i="6" s="1"/>
  <c r="AD113" i="17"/>
  <c r="J161" i="6" s="1"/>
  <c r="AD95" i="17"/>
  <c r="J143" i="6" s="1"/>
  <c r="AD77" i="17"/>
  <c r="J125" i="6" s="1"/>
  <c r="AD59" i="17"/>
  <c r="J107" i="6" s="1"/>
  <c r="AD41" i="17"/>
  <c r="J89" i="6" s="1"/>
  <c r="AD23" i="17"/>
  <c r="J71" i="6" s="1"/>
  <c r="C389" i="17"/>
  <c r="E437" i="6" s="1"/>
  <c r="C371" i="17"/>
  <c r="E419" i="6" s="1"/>
  <c r="C353" i="17"/>
  <c r="E401" i="6" s="1"/>
  <c r="C335" i="17"/>
  <c r="E383" i="6" s="1"/>
  <c r="C317" i="17"/>
  <c r="E365" i="6" s="1"/>
  <c r="C299" i="17"/>
  <c r="E347" i="6" s="1"/>
  <c r="C281" i="17"/>
  <c r="E329" i="6" s="1"/>
  <c r="C263" i="17"/>
  <c r="E311" i="6" s="1"/>
  <c r="C245" i="17"/>
  <c r="E293" i="6" s="1"/>
  <c r="C227" i="17"/>
  <c r="E275" i="6" s="1"/>
  <c r="C209" i="17"/>
  <c r="E257" i="6" s="1"/>
  <c r="C191" i="17"/>
  <c r="E239" i="6" s="1"/>
  <c r="C173" i="17"/>
  <c r="E221" i="6" s="1"/>
  <c r="C155" i="17"/>
  <c r="E203" i="6" s="1"/>
  <c r="C137" i="17"/>
  <c r="E185" i="6" s="1"/>
  <c r="C119" i="17"/>
  <c r="E167" i="6" s="1"/>
  <c r="C101" i="17"/>
  <c r="E149" i="6" s="1"/>
  <c r="C83" i="17"/>
  <c r="E131" i="6" s="1"/>
  <c r="C65" i="17"/>
  <c r="E113" i="6" s="1"/>
  <c r="C47" i="17"/>
  <c r="E95" i="6" s="1"/>
  <c r="C29" i="17"/>
  <c r="E77" i="6" s="1"/>
  <c r="AD395" i="16"/>
  <c r="I443" i="6" s="1"/>
  <c r="AD377" i="16"/>
  <c r="I425" i="6" s="1"/>
  <c r="AD359" i="16"/>
  <c r="I407" i="6" s="1"/>
  <c r="AD341" i="16"/>
  <c r="I389" i="6" s="1"/>
  <c r="AD323" i="16"/>
  <c r="I371" i="6" s="1"/>
  <c r="AD305" i="16"/>
  <c r="I353" i="6" s="1"/>
  <c r="AD287" i="16"/>
  <c r="I335" i="6" s="1"/>
  <c r="AD269" i="16"/>
  <c r="I317" i="6" s="1"/>
  <c r="AD251" i="16"/>
  <c r="I299" i="6" s="1"/>
  <c r="AD233" i="16"/>
  <c r="I281" i="6" s="1"/>
  <c r="AD215" i="16"/>
  <c r="I263" i="6" s="1"/>
  <c r="AD197" i="16"/>
  <c r="I245" i="6" s="1"/>
  <c r="AD179" i="16"/>
  <c r="I227" i="6" s="1"/>
  <c r="AD161" i="16"/>
  <c r="I209" i="6" s="1"/>
  <c r="AD144" i="16"/>
  <c r="I192" i="6" s="1"/>
  <c r="AD136" i="16"/>
  <c r="I184" i="6" s="1"/>
  <c r="AD126" i="16"/>
  <c r="I174" i="6" s="1"/>
  <c r="AD118" i="16"/>
  <c r="I166" i="6" s="1"/>
  <c r="AD108" i="16"/>
  <c r="I156" i="6" s="1"/>
  <c r="AD100" i="16"/>
  <c r="I148" i="6" s="1"/>
  <c r="AD90" i="16"/>
  <c r="I138" i="6" s="1"/>
  <c r="AD82" i="16"/>
  <c r="I130" i="6" s="1"/>
  <c r="AD72" i="16"/>
  <c r="I120" i="6" s="1"/>
  <c r="AD64" i="16"/>
  <c r="I112" i="6" s="1"/>
  <c r="AD55" i="16"/>
  <c r="I103" i="6" s="1"/>
  <c r="AD48" i="16"/>
  <c r="I96" i="6" s="1"/>
  <c r="AD41" i="16"/>
  <c r="I89" i="6" s="1"/>
  <c r="AD35" i="16"/>
  <c r="I83" i="6" s="1"/>
  <c r="AD29" i="16"/>
  <c r="I77" i="6" s="1"/>
  <c r="AD23" i="16"/>
  <c r="I71" i="6" s="1"/>
  <c r="C401" i="16"/>
  <c r="D449" i="6" s="1"/>
  <c r="C395" i="16"/>
  <c r="D443" i="6" s="1"/>
  <c r="C389" i="16"/>
  <c r="D437" i="6" s="1"/>
  <c r="C383" i="16"/>
  <c r="D431" i="6" s="1"/>
  <c r="C377" i="16"/>
  <c r="D425" i="6" s="1"/>
  <c r="C371" i="16"/>
  <c r="D419" i="6" s="1"/>
  <c r="C365" i="16"/>
  <c r="D413" i="6" s="1"/>
  <c r="C359" i="16"/>
  <c r="D407" i="6" s="1"/>
  <c r="C353" i="16"/>
  <c r="D401" i="6" s="1"/>
  <c r="C347" i="16"/>
  <c r="D395" i="6" s="1"/>
  <c r="C341" i="16"/>
  <c r="D389" i="6" s="1"/>
  <c r="C335" i="16"/>
  <c r="D383" i="6" s="1"/>
  <c r="C329" i="16"/>
  <c r="D377" i="6" s="1"/>
  <c r="C323" i="16"/>
  <c r="D371" i="6" s="1"/>
  <c r="C317" i="16"/>
  <c r="D365" i="6" s="1"/>
  <c r="C311" i="16"/>
  <c r="D359" i="6" s="1"/>
  <c r="C305" i="16"/>
  <c r="D353" i="6" s="1"/>
  <c r="C299" i="16"/>
  <c r="D347" i="6" s="1"/>
  <c r="C293" i="16"/>
  <c r="D341" i="6" s="1"/>
  <c r="C287" i="16"/>
  <c r="D335" i="6" s="1"/>
  <c r="C281" i="16"/>
  <c r="D329" i="6" s="1"/>
  <c r="C275" i="16"/>
  <c r="D323" i="6" s="1"/>
  <c r="C269" i="16"/>
  <c r="D317" i="6" s="1"/>
  <c r="C263" i="16"/>
  <c r="D311" i="6" s="1"/>
  <c r="C257" i="16"/>
  <c r="D305" i="6" s="1"/>
  <c r="C251" i="16"/>
  <c r="D299" i="6" s="1"/>
  <c r="C245" i="16"/>
  <c r="D293" i="6" s="1"/>
  <c r="C239" i="16"/>
  <c r="D287" i="6" s="1"/>
  <c r="C233" i="16"/>
  <c r="D281" i="6" s="1"/>
  <c r="C227" i="16"/>
  <c r="D275" i="6" s="1"/>
  <c r="C221" i="16"/>
  <c r="D269" i="6" s="1"/>
  <c r="C215" i="16"/>
  <c r="D263" i="6" s="1"/>
  <c r="C209" i="16"/>
  <c r="D257" i="6" s="1"/>
  <c r="C203" i="16"/>
  <c r="D251" i="6" s="1"/>
  <c r="C197" i="16"/>
  <c r="D245" i="6" s="1"/>
  <c r="C191" i="16"/>
  <c r="D239" i="6" s="1"/>
  <c r="C185" i="16"/>
  <c r="D233" i="6" s="1"/>
  <c r="C179" i="16"/>
  <c r="D227" i="6" s="1"/>
  <c r="C173" i="16"/>
  <c r="D221" i="6" s="1"/>
  <c r="C167" i="16"/>
  <c r="D215" i="6" s="1"/>
  <c r="C161" i="16"/>
  <c r="D209" i="6" s="1"/>
  <c r="C155" i="16"/>
  <c r="D203" i="6" s="1"/>
  <c r="C149" i="16"/>
  <c r="D197" i="6" s="1"/>
  <c r="C143" i="16"/>
  <c r="D191" i="6" s="1"/>
  <c r="C137" i="16"/>
  <c r="D185" i="6" s="1"/>
  <c r="C131" i="16"/>
  <c r="D179" i="6" s="1"/>
  <c r="C125" i="16"/>
  <c r="D173" i="6" s="1"/>
  <c r="C119" i="16"/>
  <c r="D167" i="6" s="1"/>
  <c r="C113" i="16"/>
  <c r="D161" i="6" s="1"/>
  <c r="N161" i="6" s="1"/>
  <c r="C107" i="16"/>
  <c r="D155" i="6" s="1"/>
  <c r="C101" i="16"/>
  <c r="D149" i="6" s="1"/>
  <c r="C95" i="16"/>
  <c r="D143" i="6" s="1"/>
  <c r="C89" i="16"/>
  <c r="D137" i="6" s="1"/>
  <c r="C83" i="16"/>
  <c r="D131" i="6" s="1"/>
  <c r="C77" i="16"/>
  <c r="D125" i="6" s="1"/>
  <c r="C71" i="16"/>
  <c r="D119" i="6" s="1"/>
  <c r="C65" i="16"/>
  <c r="D113" i="6" s="1"/>
  <c r="C59" i="16"/>
  <c r="D107" i="6" s="1"/>
  <c r="C53" i="16"/>
  <c r="D101" i="6" s="1"/>
  <c r="C47" i="16"/>
  <c r="D95" i="6" s="1"/>
  <c r="C41" i="16"/>
  <c r="D89" i="6" s="1"/>
  <c r="N89" i="6" s="1"/>
  <c r="C35" i="16"/>
  <c r="D83" i="6" s="1"/>
  <c r="C29" i="16"/>
  <c r="D77" i="6" s="1"/>
  <c r="C23" i="16"/>
  <c r="D71" i="6" s="1"/>
  <c r="AD403" i="15"/>
  <c r="AD397" i="15"/>
  <c r="AD391" i="15"/>
  <c r="AD385" i="15"/>
  <c r="AD379" i="15"/>
  <c r="AD373" i="15"/>
  <c r="AD367" i="15"/>
  <c r="AD361" i="15"/>
  <c r="AD355" i="15"/>
  <c r="AD349" i="15"/>
  <c r="AD343" i="15"/>
  <c r="AD337" i="15"/>
  <c r="AD331" i="15"/>
  <c r="AD325" i="15"/>
  <c r="AD319" i="15"/>
  <c r="AD313" i="15"/>
  <c r="AD307" i="15"/>
  <c r="AD301" i="15"/>
  <c r="AD295" i="15"/>
  <c r="AD289" i="15"/>
  <c r="AD283" i="15"/>
  <c r="AD277" i="15"/>
  <c r="AD271" i="15"/>
  <c r="AD265" i="15"/>
  <c r="AD259" i="15"/>
  <c r="AD253" i="15"/>
  <c r="AD247" i="15"/>
  <c r="AD241" i="15"/>
  <c r="AD235" i="15"/>
  <c r="AD229" i="15"/>
  <c r="AD223" i="15"/>
  <c r="AD217" i="15"/>
  <c r="AD211" i="15"/>
  <c r="AD205" i="15"/>
  <c r="AD199" i="15"/>
  <c r="AD193" i="15"/>
  <c r="AD187" i="15"/>
  <c r="AD181" i="15"/>
  <c r="AD175" i="15"/>
  <c r="AD295" i="17"/>
  <c r="J343" i="6" s="1"/>
  <c r="AD274" i="17"/>
  <c r="J322" i="6" s="1"/>
  <c r="AD256" i="17"/>
  <c r="J304" i="6" s="1"/>
  <c r="AD238" i="17"/>
  <c r="J286" i="6" s="1"/>
  <c r="AD184" i="17"/>
  <c r="J232" i="6" s="1"/>
  <c r="AD130" i="17"/>
  <c r="J178" i="6" s="1"/>
  <c r="AD76" i="17"/>
  <c r="J124" i="6" s="1"/>
  <c r="AD22" i="17"/>
  <c r="J70" i="6" s="1"/>
  <c r="C352" i="17"/>
  <c r="E400" i="6" s="1"/>
  <c r="O400" i="6" s="1"/>
  <c r="C298" i="17"/>
  <c r="E346" i="6" s="1"/>
  <c r="O346" i="6" s="1"/>
  <c r="C244" i="17"/>
  <c r="E292" i="6" s="1"/>
  <c r="C190" i="17"/>
  <c r="E238" i="6" s="1"/>
  <c r="C136" i="17"/>
  <c r="E184" i="6" s="1"/>
  <c r="C82" i="17"/>
  <c r="E130" i="6" s="1"/>
  <c r="C28" i="17"/>
  <c r="E76" i="6" s="1"/>
  <c r="AD358" i="16"/>
  <c r="I406" i="6" s="1"/>
  <c r="AD304" i="16"/>
  <c r="I352" i="6" s="1"/>
  <c r="AD250" i="16"/>
  <c r="I298" i="6" s="1"/>
  <c r="AD196" i="16"/>
  <c r="I244" i="6" s="1"/>
  <c r="AD143" i="16"/>
  <c r="I191" i="6" s="1"/>
  <c r="AD115" i="16"/>
  <c r="I163" i="6" s="1"/>
  <c r="AD89" i="16"/>
  <c r="I137" i="6" s="1"/>
  <c r="AD61" i="16"/>
  <c r="I109" i="6" s="1"/>
  <c r="AD40" i="16"/>
  <c r="I88" i="6" s="1"/>
  <c r="AD22" i="16"/>
  <c r="I70" i="6" s="1"/>
  <c r="C388" i="16"/>
  <c r="D436" i="6" s="1"/>
  <c r="C370" i="16"/>
  <c r="D418" i="6" s="1"/>
  <c r="C352" i="16"/>
  <c r="D400" i="6" s="1"/>
  <c r="N400" i="6" s="1"/>
  <c r="C334" i="16"/>
  <c r="D382" i="6" s="1"/>
  <c r="N382" i="6" s="1"/>
  <c r="C316" i="16"/>
  <c r="D364" i="6" s="1"/>
  <c r="N364" i="6" s="1"/>
  <c r="C298" i="16"/>
  <c r="D346" i="6" s="1"/>
  <c r="C280" i="16"/>
  <c r="D328" i="6" s="1"/>
  <c r="N328" i="6" s="1"/>
  <c r="C262" i="16"/>
  <c r="D310" i="6" s="1"/>
  <c r="C244" i="16"/>
  <c r="D292" i="6" s="1"/>
  <c r="N292" i="6" s="1"/>
  <c r="C226" i="16"/>
  <c r="D274" i="6" s="1"/>
  <c r="N274" i="6" s="1"/>
  <c r="C208" i="16"/>
  <c r="D256" i="6" s="1"/>
  <c r="N256" i="6" s="1"/>
  <c r="C190" i="16"/>
  <c r="D238" i="6" s="1"/>
  <c r="C172" i="16"/>
  <c r="D220" i="6" s="1"/>
  <c r="N220" i="6" s="1"/>
  <c r="C154" i="16"/>
  <c r="D202" i="6" s="1"/>
  <c r="C136" i="16"/>
  <c r="D184" i="6" s="1"/>
  <c r="C118" i="16"/>
  <c r="D166" i="6" s="1"/>
  <c r="N166" i="6" s="1"/>
  <c r="C100" i="16"/>
  <c r="D148" i="6" s="1"/>
  <c r="C82" i="16"/>
  <c r="D130" i="6" s="1"/>
  <c r="C64" i="16"/>
  <c r="D112" i="6" s="1"/>
  <c r="C46" i="16"/>
  <c r="D94" i="6" s="1"/>
  <c r="C28" i="16"/>
  <c r="D76" i="6" s="1"/>
  <c r="AD396" i="15"/>
  <c r="AD378" i="15"/>
  <c r="AD360" i="15"/>
  <c r="AD350" i="15"/>
  <c r="AD341" i="15"/>
  <c r="AD332" i="15"/>
  <c r="AD323" i="15"/>
  <c r="AD314" i="15"/>
  <c r="AD305" i="15"/>
  <c r="AD296" i="15"/>
  <c r="AD287" i="15"/>
  <c r="AD278" i="15"/>
  <c r="AD269" i="15"/>
  <c r="AD260" i="15"/>
  <c r="AD251" i="15"/>
  <c r="AD242" i="15"/>
  <c r="AD233" i="15"/>
  <c r="AD224" i="15"/>
  <c r="AD215" i="15"/>
  <c r="AD206" i="15"/>
  <c r="AD197" i="15"/>
  <c r="AD188" i="15"/>
  <c r="AD179" i="15"/>
  <c r="AD170" i="15"/>
  <c r="AD163" i="15"/>
  <c r="AD156" i="15"/>
  <c r="AD149" i="15"/>
  <c r="AD141" i="15"/>
  <c r="AD134" i="15"/>
  <c r="AD127" i="15"/>
  <c r="AD120" i="15"/>
  <c r="AD113" i="15"/>
  <c r="AD105" i="15"/>
  <c r="AD98" i="15"/>
  <c r="AD91" i="15"/>
  <c r="AD84" i="15"/>
  <c r="AD77" i="15"/>
  <c r="AD69" i="15"/>
  <c r="AD62" i="15"/>
  <c r="AD55" i="15"/>
  <c r="AD47" i="15"/>
  <c r="AD40" i="15"/>
  <c r="AD32" i="15"/>
  <c r="AD25" i="15"/>
  <c r="C65" i="15"/>
  <c r="C58" i="15"/>
  <c r="C83" i="15"/>
  <c r="C77" i="15"/>
  <c r="C71" i="15"/>
  <c r="C96" i="15"/>
  <c r="C90" i="15"/>
  <c r="C115" i="15"/>
  <c r="C109" i="15"/>
  <c r="C103" i="15"/>
  <c r="C128" i="15"/>
  <c r="C122" i="15"/>
  <c r="C147" i="15"/>
  <c r="C141" i="15"/>
  <c r="C135" i="15"/>
  <c r="C160" i="15"/>
  <c r="C154" i="15"/>
  <c r="C179" i="15"/>
  <c r="C173" i="15"/>
  <c r="C167" i="15"/>
  <c r="C192" i="15"/>
  <c r="C186" i="15"/>
  <c r="C211" i="15"/>
  <c r="C205" i="15"/>
  <c r="C199" i="15"/>
  <c r="C224" i="15"/>
  <c r="C218" i="15"/>
  <c r="C243" i="15"/>
  <c r="C237" i="15"/>
  <c r="C231" i="15"/>
  <c r="C256" i="15"/>
  <c r="C250" i="15"/>
  <c r="C275" i="15"/>
  <c r="C269" i="15"/>
  <c r="C263" i="15"/>
  <c r="C288" i="15"/>
  <c r="C282" i="15"/>
  <c r="C307" i="15"/>
  <c r="C301" i="15"/>
  <c r="C295" i="15"/>
  <c r="C320" i="15"/>
  <c r="C314" i="15"/>
  <c r="C339" i="15"/>
  <c r="C333" i="15"/>
  <c r="C327" i="15"/>
  <c r="C352" i="15"/>
  <c r="C346" i="15"/>
  <c r="C371" i="15"/>
  <c r="C365" i="15"/>
  <c r="C359" i="15"/>
  <c r="C384" i="15"/>
  <c r="C378" i="15"/>
  <c r="C403" i="15"/>
  <c r="C397" i="15"/>
  <c r="C391" i="15"/>
  <c r="C340" i="15"/>
  <c r="C244" i="15"/>
  <c r="C148" i="15"/>
  <c r="C52" i="15"/>
  <c r="C46" i="15"/>
  <c r="C40" i="15"/>
  <c r="C34" i="15"/>
  <c r="C28" i="15"/>
  <c r="C22" i="15"/>
  <c r="C21" i="15"/>
  <c r="AD153" i="15"/>
  <c r="AD60" i="15"/>
  <c r="AD37" i="15"/>
  <c r="C63" i="15"/>
  <c r="C81" i="15"/>
  <c r="C69" i="15"/>
  <c r="C113" i="15"/>
  <c r="C101" i="15"/>
  <c r="C145" i="15"/>
  <c r="C158" i="15"/>
  <c r="C177" i="15"/>
  <c r="C190" i="15"/>
  <c r="C203" i="15"/>
  <c r="C222" i="15"/>
  <c r="C235" i="15"/>
  <c r="C254" i="15"/>
  <c r="C267" i="15"/>
  <c r="C286" i="15"/>
  <c r="C299" i="15"/>
  <c r="C312" i="15"/>
  <c r="C331" i="15"/>
  <c r="AD233" i="17"/>
  <c r="J281" i="6" s="1"/>
  <c r="AD179" i="17"/>
  <c r="J227" i="6" s="1"/>
  <c r="AD125" i="17"/>
  <c r="J173" i="6" s="1"/>
  <c r="AD71" i="17"/>
  <c r="J119" i="6" s="1"/>
  <c r="C401" i="17"/>
  <c r="E449" i="6" s="1"/>
  <c r="C347" i="17"/>
  <c r="E395" i="6" s="1"/>
  <c r="C293" i="17"/>
  <c r="E341" i="6" s="1"/>
  <c r="O341" i="6" s="1"/>
  <c r="C239" i="17"/>
  <c r="E287" i="6" s="1"/>
  <c r="C185" i="17"/>
  <c r="E233" i="6" s="1"/>
  <c r="C131" i="17"/>
  <c r="E179" i="6" s="1"/>
  <c r="C77" i="17"/>
  <c r="E125" i="6" s="1"/>
  <c r="C23" i="17"/>
  <c r="E71" i="6" s="1"/>
  <c r="AD353" i="16"/>
  <c r="I401" i="6" s="1"/>
  <c r="AD299" i="16"/>
  <c r="I347" i="6" s="1"/>
  <c r="AD245" i="16"/>
  <c r="I293" i="6" s="1"/>
  <c r="AD191" i="16"/>
  <c r="I239" i="6" s="1"/>
  <c r="AD142" i="16"/>
  <c r="I190" i="6" s="1"/>
  <c r="AD114" i="16"/>
  <c r="I162" i="6" s="1"/>
  <c r="AD88" i="16"/>
  <c r="I136" i="6" s="1"/>
  <c r="AD60" i="16"/>
  <c r="I108" i="6" s="1"/>
  <c r="AD39" i="16"/>
  <c r="I87" i="6" s="1"/>
  <c r="AD21" i="16"/>
  <c r="I69" i="6" s="1"/>
  <c r="C387" i="16"/>
  <c r="D435" i="6" s="1"/>
  <c r="C369" i="16"/>
  <c r="D417" i="6" s="1"/>
  <c r="N417" i="6" s="1"/>
  <c r="C351" i="16"/>
  <c r="D399" i="6" s="1"/>
  <c r="C333" i="16"/>
  <c r="D381" i="6" s="1"/>
  <c r="N381" i="6" s="1"/>
  <c r="C315" i="16"/>
  <c r="D363" i="6" s="1"/>
  <c r="N363" i="6" s="1"/>
  <c r="C297" i="16"/>
  <c r="D345" i="6" s="1"/>
  <c r="N345" i="6" s="1"/>
  <c r="C279" i="16"/>
  <c r="D327" i="6" s="1"/>
  <c r="C261" i="16"/>
  <c r="D309" i="6" s="1"/>
  <c r="N309" i="6" s="1"/>
  <c r="C243" i="16"/>
  <c r="D291" i="6" s="1"/>
  <c r="C225" i="16"/>
  <c r="D273" i="6" s="1"/>
  <c r="N273" i="6" s="1"/>
  <c r="C207" i="16"/>
  <c r="D255" i="6" s="1"/>
  <c r="N255" i="6" s="1"/>
  <c r="C189" i="16"/>
  <c r="D237" i="6" s="1"/>
  <c r="N237" i="6" s="1"/>
  <c r="C171" i="16"/>
  <c r="D219" i="6" s="1"/>
  <c r="C153" i="16"/>
  <c r="D201" i="6" s="1"/>
  <c r="N201" i="6" s="1"/>
  <c r="C135" i="16"/>
  <c r="D183" i="6" s="1"/>
  <c r="C117" i="16"/>
  <c r="D165" i="6" s="1"/>
  <c r="N165" i="6" s="1"/>
  <c r="C99" i="16"/>
  <c r="D147" i="6" s="1"/>
  <c r="N147" i="6" s="1"/>
  <c r="C81" i="16"/>
  <c r="D129" i="6" s="1"/>
  <c r="N129" i="6" s="1"/>
  <c r="C63" i="16"/>
  <c r="D111" i="6" s="1"/>
  <c r="C45" i="16"/>
  <c r="D93" i="6" s="1"/>
  <c r="N93" i="6" s="1"/>
  <c r="C27" i="16"/>
  <c r="D75" i="6" s="1"/>
  <c r="AD395" i="15"/>
  <c r="AD377" i="15"/>
  <c r="AD359" i="15"/>
  <c r="AD348" i="15"/>
  <c r="AD339" i="15"/>
  <c r="AD330" i="15"/>
  <c r="AD321" i="15"/>
  <c r="AD312" i="15"/>
  <c r="AD303" i="15"/>
  <c r="AD294" i="15"/>
  <c r="AD285" i="15"/>
  <c r="AD276" i="15"/>
  <c r="AD267" i="15"/>
  <c r="AD258" i="15"/>
  <c r="AD249" i="15"/>
  <c r="AD240" i="15"/>
  <c r="AD231" i="15"/>
  <c r="AD222" i="15"/>
  <c r="AD213" i="15"/>
  <c r="AD204" i="15"/>
  <c r="AD195" i="15"/>
  <c r="AD186" i="15"/>
  <c r="AD177" i="15"/>
  <c r="AD169" i="15"/>
  <c r="AD162" i="15"/>
  <c r="AD155" i="15"/>
  <c r="AD147" i="15"/>
  <c r="AD140" i="15"/>
  <c r="AD133" i="15"/>
  <c r="AD126" i="15"/>
  <c r="AD119" i="15"/>
  <c r="AD111" i="15"/>
  <c r="AD104" i="15"/>
  <c r="AD97" i="15"/>
  <c r="AD90" i="15"/>
  <c r="AD83" i="15"/>
  <c r="AD75" i="15"/>
  <c r="AD68" i="15"/>
  <c r="AD61" i="15"/>
  <c r="AD53" i="15"/>
  <c r="AD46" i="15"/>
  <c r="AD38" i="15"/>
  <c r="AD31" i="15"/>
  <c r="AD24" i="15"/>
  <c r="C64" i="15"/>
  <c r="C57" i="15"/>
  <c r="C82" i="15"/>
  <c r="C76" i="15"/>
  <c r="C70" i="15"/>
  <c r="C95" i="15"/>
  <c r="C89" i="15"/>
  <c r="C114" i="15"/>
  <c r="C108" i="15"/>
  <c r="C102" i="15"/>
  <c r="C127" i="15"/>
  <c r="C121" i="15"/>
  <c r="C146" i="15"/>
  <c r="C140" i="15"/>
  <c r="C134" i="15"/>
  <c r="C159" i="15"/>
  <c r="C153" i="15"/>
  <c r="C178" i="15"/>
  <c r="C172" i="15"/>
  <c r="C166" i="15"/>
  <c r="C191" i="15"/>
  <c r="C185" i="15"/>
  <c r="C210" i="15"/>
  <c r="C204" i="15"/>
  <c r="C198" i="15"/>
  <c r="C223" i="15"/>
  <c r="C217" i="15"/>
  <c r="C242" i="15"/>
  <c r="C236" i="15"/>
  <c r="C230" i="15"/>
  <c r="C255" i="15"/>
  <c r="C249" i="15"/>
  <c r="C274" i="15"/>
  <c r="C268" i="15"/>
  <c r="C262" i="15"/>
  <c r="C287" i="15"/>
  <c r="C281" i="15"/>
  <c r="C306" i="15"/>
  <c r="C300" i="15"/>
  <c r="C294" i="15"/>
  <c r="C319" i="15"/>
  <c r="C313" i="15"/>
  <c r="C338" i="15"/>
  <c r="C332" i="15"/>
  <c r="C326" i="15"/>
  <c r="C351" i="15"/>
  <c r="C345" i="15"/>
  <c r="C370" i="15"/>
  <c r="C364" i="15"/>
  <c r="C358" i="15"/>
  <c r="C383" i="15"/>
  <c r="C377" i="15"/>
  <c r="C402" i="15"/>
  <c r="C396" i="15"/>
  <c r="C390" i="15"/>
  <c r="C324" i="15"/>
  <c r="C228" i="15"/>
  <c r="C132" i="15"/>
  <c r="C51" i="15"/>
  <c r="C45" i="15"/>
  <c r="C39" i="15"/>
  <c r="C33" i="15"/>
  <c r="C27" i="15"/>
  <c r="AD161" i="15"/>
  <c r="AD44" i="15"/>
  <c r="AD30" i="15"/>
  <c r="C56" i="15"/>
  <c r="C75" i="15"/>
  <c r="C88" i="15"/>
  <c r="C107" i="15"/>
  <c r="C120" i="15"/>
  <c r="C139" i="15"/>
  <c r="C152" i="15"/>
  <c r="C165" i="15"/>
  <c r="C209" i="15"/>
  <c r="C197" i="15"/>
  <c r="C216" i="15"/>
  <c r="C229" i="15"/>
  <c r="C248" i="15"/>
  <c r="C261" i="15"/>
  <c r="C305" i="15"/>
  <c r="C293" i="15"/>
  <c r="C337" i="15"/>
  <c r="AD220" i="17"/>
  <c r="J268" i="6" s="1"/>
  <c r="AD166" i="17"/>
  <c r="J214" i="6" s="1"/>
  <c r="AD112" i="17"/>
  <c r="J160" i="6" s="1"/>
  <c r="AD58" i="17"/>
  <c r="J106" i="6" s="1"/>
  <c r="C388" i="17"/>
  <c r="E436" i="6" s="1"/>
  <c r="O436" i="6" s="1"/>
  <c r="C334" i="17"/>
  <c r="E382" i="6" s="1"/>
  <c r="O382" i="6" s="1"/>
  <c r="C280" i="17"/>
  <c r="E328" i="6" s="1"/>
  <c r="O328" i="6" s="1"/>
  <c r="C226" i="17"/>
  <c r="E274" i="6" s="1"/>
  <c r="O274" i="6" s="1"/>
  <c r="C172" i="17"/>
  <c r="E220" i="6" s="1"/>
  <c r="C118" i="17"/>
  <c r="E166" i="6" s="1"/>
  <c r="O166" i="6" s="1"/>
  <c r="C64" i="17"/>
  <c r="E112" i="6" s="1"/>
  <c r="AD394" i="16"/>
  <c r="I442" i="6" s="1"/>
  <c r="AD340" i="16"/>
  <c r="I388" i="6" s="1"/>
  <c r="AD286" i="16"/>
  <c r="I334" i="6" s="1"/>
  <c r="AD232" i="16"/>
  <c r="I280" i="6" s="1"/>
  <c r="AD178" i="16"/>
  <c r="I226" i="6" s="1"/>
  <c r="AD133" i="16"/>
  <c r="I181" i="6" s="1"/>
  <c r="AD107" i="16"/>
  <c r="I155" i="6" s="1"/>
  <c r="AD79" i="16"/>
  <c r="I127" i="6" s="1"/>
  <c r="AD54" i="16"/>
  <c r="I102" i="6" s="1"/>
  <c r="AD34" i="16"/>
  <c r="I82" i="6" s="1"/>
  <c r="C400" i="16"/>
  <c r="D448" i="6" s="1"/>
  <c r="C382" i="16"/>
  <c r="D430" i="6" s="1"/>
  <c r="C364" i="16"/>
  <c r="D412" i="6" s="1"/>
  <c r="N412" i="6" s="1"/>
  <c r="C346" i="16"/>
  <c r="D394" i="6" s="1"/>
  <c r="N394" i="6" s="1"/>
  <c r="C328" i="16"/>
  <c r="D376" i="6" s="1"/>
  <c r="N376" i="6" s="1"/>
  <c r="C310" i="16"/>
  <c r="D358" i="6" s="1"/>
  <c r="C292" i="16"/>
  <c r="D340" i="6" s="1"/>
  <c r="C274" i="16"/>
  <c r="D322" i="6" s="1"/>
  <c r="C256" i="16"/>
  <c r="D304" i="6" s="1"/>
  <c r="N304" i="6" s="1"/>
  <c r="C238" i="16"/>
  <c r="D286" i="6" s="1"/>
  <c r="N286" i="6" s="1"/>
  <c r="C220" i="16"/>
  <c r="D268" i="6" s="1"/>
  <c r="N268" i="6" s="1"/>
  <c r="C202" i="16"/>
  <c r="D250" i="6" s="1"/>
  <c r="C184" i="16"/>
  <c r="D232" i="6" s="1"/>
  <c r="C166" i="16"/>
  <c r="D214" i="6" s="1"/>
  <c r="C148" i="16"/>
  <c r="D196" i="6" s="1"/>
  <c r="N196" i="6" s="1"/>
  <c r="C130" i="16"/>
  <c r="D178" i="6" s="1"/>
  <c r="N178" i="6" s="1"/>
  <c r="C112" i="16"/>
  <c r="D160" i="6" s="1"/>
  <c r="N160" i="6" s="1"/>
  <c r="C94" i="16"/>
  <c r="D142" i="6" s="1"/>
  <c r="C76" i="16"/>
  <c r="D124" i="6" s="1"/>
  <c r="N124" i="6" s="1"/>
  <c r="C58" i="16"/>
  <c r="D106" i="6" s="1"/>
  <c r="C40" i="16"/>
  <c r="D88" i="6" s="1"/>
  <c r="C22" i="16"/>
  <c r="D70" i="6" s="1"/>
  <c r="AD390" i="15"/>
  <c r="AD372" i="15"/>
  <c r="AD356" i="15"/>
  <c r="AD347" i="15"/>
  <c r="AD338" i="15"/>
  <c r="AD329" i="15"/>
  <c r="AD320" i="15"/>
  <c r="AD311" i="15"/>
  <c r="AD302" i="15"/>
  <c r="AD293" i="15"/>
  <c r="AD284" i="15"/>
  <c r="AD275" i="15"/>
  <c r="AD266" i="15"/>
  <c r="AD257" i="15"/>
  <c r="AD248" i="15"/>
  <c r="AD239" i="15"/>
  <c r="AD230" i="15"/>
  <c r="AD221" i="15"/>
  <c r="AD212" i="15"/>
  <c r="AD203" i="15"/>
  <c r="AD194" i="15"/>
  <c r="AD185" i="15"/>
  <c r="AD176" i="15"/>
  <c r="AD168" i="15"/>
  <c r="AD146" i="15"/>
  <c r="AD139" i="15"/>
  <c r="AD132" i="15"/>
  <c r="AD125" i="15"/>
  <c r="AD117" i="15"/>
  <c r="AD110" i="15"/>
  <c r="AD103" i="15"/>
  <c r="AD96" i="15"/>
  <c r="AD89" i="15"/>
  <c r="AD81" i="15"/>
  <c r="AD74" i="15"/>
  <c r="AD67" i="15"/>
  <c r="AD52" i="15"/>
  <c r="AD23" i="15"/>
  <c r="C94" i="15"/>
  <c r="C126" i="15"/>
  <c r="C133" i="15"/>
  <c r="C171" i="15"/>
  <c r="C184" i="15"/>
  <c r="C241" i="15"/>
  <c r="C273" i="15"/>
  <c r="C280" i="15"/>
  <c r="C318" i="15"/>
  <c r="AD288" i="17"/>
  <c r="J336" i="6" s="1"/>
  <c r="AD215" i="17"/>
  <c r="J263" i="6" s="1"/>
  <c r="AD161" i="17"/>
  <c r="J209" i="6" s="1"/>
  <c r="AD107" i="17"/>
  <c r="J155" i="6" s="1"/>
  <c r="AD53" i="17"/>
  <c r="J101" i="6" s="1"/>
  <c r="C383" i="17"/>
  <c r="E431" i="6" s="1"/>
  <c r="C329" i="17"/>
  <c r="E377" i="6" s="1"/>
  <c r="C275" i="17"/>
  <c r="E323" i="6" s="1"/>
  <c r="C221" i="17"/>
  <c r="E269" i="6" s="1"/>
  <c r="C167" i="17"/>
  <c r="E215" i="6" s="1"/>
  <c r="C113" i="17"/>
  <c r="E161" i="6" s="1"/>
  <c r="C59" i="17"/>
  <c r="E107" i="6" s="1"/>
  <c r="AD389" i="16"/>
  <c r="I437" i="6" s="1"/>
  <c r="AD335" i="16"/>
  <c r="I383" i="6" s="1"/>
  <c r="AD281" i="16"/>
  <c r="I329" i="6" s="1"/>
  <c r="AD227" i="16"/>
  <c r="I275" i="6" s="1"/>
  <c r="AD173" i="16"/>
  <c r="I221" i="6" s="1"/>
  <c r="AD132" i="16"/>
  <c r="I180" i="6" s="1"/>
  <c r="AD106" i="16"/>
  <c r="I154" i="6" s="1"/>
  <c r="AD78" i="16"/>
  <c r="I126" i="6" s="1"/>
  <c r="AD53" i="16"/>
  <c r="I101" i="6" s="1"/>
  <c r="AD33" i="16"/>
  <c r="I81" i="6" s="1"/>
  <c r="C399" i="16"/>
  <c r="D447" i="6" s="1"/>
  <c r="C381" i="16"/>
  <c r="D429" i="6" s="1"/>
  <c r="C363" i="16"/>
  <c r="D411" i="6" s="1"/>
  <c r="C345" i="16"/>
  <c r="D393" i="6" s="1"/>
  <c r="C327" i="16"/>
  <c r="D375" i="6" s="1"/>
  <c r="C309" i="16"/>
  <c r="D357" i="6" s="1"/>
  <c r="C291" i="16"/>
  <c r="D339" i="6" s="1"/>
  <c r="C273" i="16"/>
  <c r="D321" i="6" s="1"/>
  <c r="C255" i="16"/>
  <c r="D303" i="6" s="1"/>
  <c r="C237" i="16"/>
  <c r="D285" i="6" s="1"/>
  <c r="C219" i="16"/>
  <c r="D267" i="6" s="1"/>
  <c r="C201" i="16"/>
  <c r="D249" i="6" s="1"/>
  <c r="C183" i="16"/>
  <c r="D231" i="6" s="1"/>
  <c r="C165" i="16"/>
  <c r="D213" i="6" s="1"/>
  <c r="C147" i="16"/>
  <c r="D195" i="6" s="1"/>
  <c r="C129" i="16"/>
  <c r="D177" i="6" s="1"/>
  <c r="C111" i="16"/>
  <c r="D159" i="6" s="1"/>
  <c r="C93" i="16"/>
  <c r="D141" i="6" s="1"/>
  <c r="C75" i="16"/>
  <c r="D123" i="6" s="1"/>
  <c r="C57" i="16"/>
  <c r="D105" i="6" s="1"/>
  <c r="C39" i="16"/>
  <c r="D87" i="6" s="1"/>
  <c r="C21" i="16"/>
  <c r="D69" i="6" s="1"/>
  <c r="AD389" i="15"/>
  <c r="AD371" i="15"/>
  <c r="AD354" i="15"/>
  <c r="AD345" i="15"/>
  <c r="AD336" i="15"/>
  <c r="AD327" i="15"/>
  <c r="AD318" i="15"/>
  <c r="AD309" i="15"/>
  <c r="AD300" i="15"/>
  <c r="AD291" i="15"/>
  <c r="AD282" i="15"/>
  <c r="AD273" i="15"/>
  <c r="AD264" i="15"/>
  <c r="AD255" i="15"/>
  <c r="AD246" i="15"/>
  <c r="AD237" i="15"/>
  <c r="AD228" i="15"/>
  <c r="AD219" i="15"/>
  <c r="AD210" i="15"/>
  <c r="AD201" i="15"/>
  <c r="AD192" i="15"/>
  <c r="AD183" i="15"/>
  <c r="AD174" i="15"/>
  <c r="AD167" i="15"/>
  <c r="AD159" i="15"/>
  <c r="AD152" i="15"/>
  <c r="AD145" i="15"/>
  <c r="AD138" i="15"/>
  <c r="AD131" i="15"/>
  <c r="AD123" i="15"/>
  <c r="AD116" i="15"/>
  <c r="AD109" i="15"/>
  <c r="AD102" i="15"/>
  <c r="AD95" i="15"/>
  <c r="AD87" i="15"/>
  <c r="AD80" i="15"/>
  <c r="AD73" i="15"/>
  <c r="AD66" i="15"/>
  <c r="AD59" i="15"/>
  <c r="AD50" i="15"/>
  <c r="AD43" i="15"/>
  <c r="AD36" i="15"/>
  <c r="AD29" i="15"/>
  <c r="AD22" i="15"/>
  <c r="C61" i="15"/>
  <c r="C55" i="15"/>
  <c r="C80" i="15"/>
  <c r="C74" i="15"/>
  <c r="C99" i="15"/>
  <c r="C93" i="15"/>
  <c r="C87" i="15"/>
  <c r="C112" i="15"/>
  <c r="C106" i="15"/>
  <c r="C131" i="15"/>
  <c r="C125" i="15"/>
  <c r="C119" i="15"/>
  <c r="C144" i="15"/>
  <c r="C138" i="15"/>
  <c r="AD269" i="17"/>
  <c r="J317" i="6" s="1"/>
  <c r="AD202" i="17"/>
  <c r="J250" i="6" s="1"/>
  <c r="AD148" i="17"/>
  <c r="J196" i="6" s="1"/>
  <c r="AD94" i="17"/>
  <c r="J142" i="6" s="1"/>
  <c r="AD40" i="17"/>
  <c r="J88" i="6" s="1"/>
  <c r="C370" i="17"/>
  <c r="E418" i="6" s="1"/>
  <c r="O418" i="6" s="1"/>
  <c r="C316" i="17"/>
  <c r="E364" i="6" s="1"/>
  <c r="C262" i="17"/>
  <c r="E310" i="6" s="1"/>
  <c r="C208" i="17"/>
  <c r="E256" i="6" s="1"/>
  <c r="C154" i="17"/>
  <c r="E202" i="6" s="1"/>
  <c r="C100" i="17"/>
  <c r="E148" i="6" s="1"/>
  <c r="C46" i="17"/>
  <c r="E94" i="6" s="1"/>
  <c r="AD376" i="16"/>
  <c r="I424" i="6" s="1"/>
  <c r="AD322" i="16"/>
  <c r="I370" i="6" s="1"/>
  <c r="AD268" i="16"/>
  <c r="I316" i="6" s="1"/>
  <c r="AD214" i="16"/>
  <c r="I262" i="6" s="1"/>
  <c r="AD160" i="16"/>
  <c r="I208" i="6" s="1"/>
  <c r="AD125" i="16"/>
  <c r="I173" i="6" s="1"/>
  <c r="AD97" i="16"/>
  <c r="I145" i="6" s="1"/>
  <c r="AD71" i="16"/>
  <c r="I119" i="6" s="1"/>
  <c r="AD47" i="16"/>
  <c r="I95" i="6" s="1"/>
  <c r="AD28" i="16"/>
  <c r="I76" i="6" s="1"/>
  <c r="C394" i="16"/>
  <c r="D442" i="6" s="1"/>
  <c r="C376" i="16"/>
  <c r="D424" i="6" s="1"/>
  <c r="C358" i="16"/>
  <c r="D406" i="6" s="1"/>
  <c r="C340" i="16"/>
  <c r="D388" i="6" s="1"/>
  <c r="C322" i="16"/>
  <c r="D370" i="6" s="1"/>
  <c r="C304" i="16"/>
  <c r="D352" i="6" s="1"/>
  <c r="C286" i="16"/>
  <c r="D334" i="6" s="1"/>
  <c r="C268" i="16"/>
  <c r="D316" i="6" s="1"/>
  <c r="C250" i="16"/>
  <c r="D298" i="6" s="1"/>
  <c r="C232" i="16"/>
  <c r="D280" i="6" s="1"/>
  <c r="C214" i="16"/>
  <c r="D262" i="6" s="1"/>
  <c r="C196" i="16"/>
  <c r="D244" i="6" s="1"/>
  <c r="C178" i="16"/>
  <c r="D226" i="6" s="1"/>
  <c r="C160" i="16"/>
  <c r="D208" i="6" s="1"/>
  <c r="C142" i="16"/>
  <c r="D190" i="6" s="1"/>
  <c r="C124" i="16"/>
  <c r="D172" i="6" s="1"/>
  <c r="C106" i="16"/>
  <c r="D154" i="6" s="1"/>
  <c r="C88" i="16"/>
  <c r="D136" i="6" s="1"/>
  <c r="C70" i="16"/>
  <c r="D118" i="6" s="1"/>
  <c r="C52" i="16"/>
  <c r="D100" i="6" s="1"/>
  <c r="N100" i="6" s="1"/>
  <c r="C34" i="16"/>
  <c r="D82" i="6" s="1"/>
  <c r="AD402" i="15"/>
  <c r="AD384" i="15"/>
  <c r="AD366" i="15"/>
  <c r="AD353" i="15"/>
  <c r="AD344" i="15"/>
  <c r="AD335" i="15"/>
  <c r="AD326" i="15"/>
  <c r="AD317" i="15"/>
  <c r="AD308" i="15"/>
  <c r="AD299" i="15"/>
  <c r="AD290" i="15"/>
  <c r="AD281" i="15"/>
  <c r="AD272" i="15"/>
  <c r="AD263" i="15"/>
  <c r="AD254" i="15"/>
  <c r="AD245" i="15"/>
  <c r="AD236" i="15"/>
  <c r="AD227" i="15"/>
  <c r="AD218" i="15"/>
  <c r="AD209" i="15"/>
  <c r="AD200" i="15"/>
  <c r="AD191" i="15"/>
  <c r="AD182" i="15"/>
  <c r="AD173" i="15"/>
  <c r="AD165" i="15"/>
  <c r="AD158" i="15"/>
  <c r="AD151" i="15"/>
  <c r="AD144" i="15"/>
  <c r="AD137" i="15"/>
  <c r="AD129" i="15"/>
  <c r="AD122" i="15"/>
  <c r="AD115" i="15"/>
  <c r="AD108" i="15"/>
  <c r="AD101" i="15"/>
  <c r="AD93" i="15"/>
  <c r="AD86" i="15"/>
  <c r="AD79" i="15"/>
  <c r="AD72" i="15"/>
  <c r="AD65" i="15"/>
  <c r="AD57" i="15"/>
  <c r="AD49" i="15"/>
  <c r="AD42" i="15"/>
  <c r="AD35" i="15"/>
  <c r="AD28" i="15"/>
  <c r="C67" i="15"/>
  <c r="C60" i="15"/>
  <c r="C54" i="15"/>
  <c r="C79" i="15"/>
  <c r="C73" i="15"/>
  <c r="C98" i="15"/>
  <c r="C92" i="15"/>
  <c r="C86" i="15"/>
  <c r="C111" i="15"/>
  <c r="C105" i="15"/>
  <c r="C130" i="15"/>
  <c r="C124" i="15"/>
  <c r="C118" i="15"/>
  <c r="C143" i="15"/>
  <c r="C137" i="15"/>
  <c r="C162" i="15"/>
  <c r="C156" i="15"/>
  <c r="C150" i="15"/>
  <c r="C175" i="15"/>
  <c r="C169" i="15"/>
  <c r="C194" i="15"/>
  <c r="C188" i="15"/>
  <c r="C182" i="15"/>
  <c r="C207" i="15"/>
  <c r="C201" i="15"/>
  <c r="C226" i="15"/>
  <c r="C220" i="15"/>
  <c r="C214" i="15"/>
  <c r="C239" i="15"/>
  <c r="C233" i="15"/>
  <c r="C258" i="15"/>
  <c r="C252" i="15"/>
  <c r="C246" i="15"/>
  <c r="C271" i="15"/>
  <c r="C265" i="15"/>
  <c r="C290" i="15"/>
  <c r="C284" i="15"/>
  <c r="C278" i="15"/>
  <c r="C303" i="15"/>
  <c r="C297" i="15"/>
  <c r="C322" i="15"/>
  <c r="C316" i="15"/>
  <c r="C310" i="15"/>
  <c r="C335" i="15"/>
  <c r="C329" i="15"/>
  <c r="C354" i="15"/>
  <c r="C348" i="15"/>
  <c r="C342" i="15"/>
  <c r="C367" i="15"/>
  <c r="C361" i="15"/>
  <c r="C386" i="15"/>
  <c r="C380" i="15"/>
  <c r="C374" i="15"/>
  <c r="C399" i="15"/>
  <c r="C393" i="15"/>
  <c r="C372" i="15"/>
  <c r="C276" i="15"/>
  <c r="C180" i="15"/>
  <c r="C84" i="15"/>
  <c r="C48" i="15"/>
  <c r="C42" i="15"/>
  <c r="C30" i="15"/>
  <c r="C78" i="6" s="1"/>
  <c r="C24" i="15"/>
  <c r="C72" i="6" s="1"/>
  <c r="AD89" i="17"/>
  <c r="J137" i="6" s="1"/>
  <c r="C149" i="17"/>
  <c r="E197" i="6" s="1"/>
  <c r="AD209" i="16"/>
  <c r="I257" i="6" s="1"/>
  <c r="AD27" i="16"/>
  <c r="I75" i="6" s="1"/>
  <c r="C303" i="16"/>
  <c r="D351" i="6" s="1"/>
  <c r="C195" i="16"/>
  <c r="D243" i="6" s="1"/>
  <c r="C87" i="16"/>
  <c r="D135" i="6" s="1"/>
  <c r="AD365" i="15"/>
  <c r="AD306" i="15"/>
  <c r="AD252" i="15"/>
  <c r="AD198" i="15"/>
  <c r="AD150" i="15"/>
  <c r="AD107" i="15"/>
  <c r="AD63" i="15"/>
  <c r="C66" i="15"/>
  <c r="C91" i="15"/>
  <c r="C117" i="15"/>
  <c r="C155" i="15"/>
  <c r="C168" i="15"/>
  <c r="C181" i="15"/>
  <c r="C225" i="15"/>
  <c r="C238" i="15"/>
  <c r="C251" i="15"/>
  <c r="C264" i="15"/>
  <c r="C277" i="15"/>
  <c r="C321" i="15"/>
  <c r="C334" i="15"/>
  <c r="C350" i="15"/>
  <c r="C369" i="15"/>
  <c r="C357" i="15"/>
  <c r="C376" i="15"/>
  <c r="C395" i="15"/>
  <c r="C308" i="15"/>
  <c r="C116" i="15"/>
  <c r="C44" i="15"/>
  <c r="C32" i="15"/>
  <c r="AD189" i="15"/>
  <c r="AD56" i="15"/>
  <c r="C59" i="15"/>
  <c r="C142" i="15"/>
  <c r="C151" i="15"/>
  <c r="C195" i="15"/>
  <c r="C208" i="15"/>
  <c r="C221" i="15"/>
  <c r="C247" i="15"/>
  <c r="C291" i="15"/>
  <c r="C304" i="15"/>
  <c r="C317" i="15"/>
  <c r="C330" i="15"/>
  <c r="C349" i="15"/>
  <c r="C368" i="15"/>
  <c r="C387" i="15"/>
  <c r="C375" i="15"/>
  <c r="C394" i="15"/>
  <c r="C292" i="15"/>
  <c r="C100" i="15"/>
  <c r="C43" i="15"/>
  <c r="C31" i="15"/>
  <c r="C79" i="6" s="1"/>
  <c r="AD96" i="16"/>
  <c r="I144" i="6" s="1"/>
  <c r="C141" i="16"/>
  <c r="D189" i="6" s="1"/>
  <c r="AD279" i="15"/>
  <c r="AD171" i="15"/>
  <c r="AD85" i="15"/>
  <c r="C78" i="15"/>
  <c r="C163" i="15"/>
  <c r="C189" i="15"/>
  <c r="C215" i="15"/>
  <c r="C272" i="15"/>
  <c r="C298" i="15"/>
  <c r="C325" i="15"/>
  <c r="C363" i="15"/>
  <c r="C401" i="15"/>
  <c r="C50" i="15"/>
  <c r="AD197" i="17"/>
  <c r="J245" i="6" s="1"/>
  <c r="AD317" i="16"/>
  <c r="I365" i="6" s="1"/>
  <c r="C339" i="16"/>
  <c r="D387" i="6" s="1"/>
  <c r="C123" i="16"/>
  <c r="D171" i="6" s="1"/>
  <c r="AD324" i="15"/>
  <c r="AD216" i="15"/>
  <c r="AD121" i="15"/>
  <c r="AD34" i="15"/>
  <c r="C129" i="15"/>
  <c r="C174" i="15"/>
  <c r="C213" i="15"/>
  <c r="C283" i="15"/>
  <c r="C309" i="15"/>
  <c r="C343" i="15"/>
  <c r="C381" i="15"/>
  <c r="C196" i="15"/>
  <c r="C37" i="15"/>
  <c r="C203" i="17"/>
  <c r="E251" i="6" s="1"/>
  <c r="AD46" i="16"/>
  <c r="I94" i="6" s="1"/>
  <c r="C213" i="16"/>
  <c r="D261" i="6" s="1"/>
  <c r="C105" i="16"/>
  <c r="D153" i="6" s="1"/>
  <c r="AD383" i="15"/>
  <c r="C97" i="15"/>
  <c r="C183" i="15"/>
  <c r="C253" i="15"/>
  <c r="C323" i="15"/>
  <c r="C360" i="15"/>
  <c r="C398" i="15"/>
  <c r="C47" i="15"/>
  <c r="C23" i="15"/>
  <c r="C71" i="6" s="1"/>
  <c r="AD35" i="17"/>
  <c r="J83" i="6" s="1"/>
  <c r="C95" i="17"/>
  <c r="E143" i="6" s="1"/>
  <c r="AD155" i="16"/>
  <c r="I203" i="6" s="1"/>
  <c r="C393" i="16"/>
  <c r="D441" i="6" s="1"/>
  <c r="N441" i="6" s="1"/>
  <c r="C285" i="16"/>
  <c r="D333" i="6" s="1"/>
  <c r="C177" i="16"/>
  <c r="D225" i="6" s="1"/>
  <c r="C69" i="16"/>
  <c r="D117" i="6" s="1"/>
  <c r="AD351" i="15"/>
  <c r="AD297" i="15"/>
  <c r="AD243" i="15"/>
  <c r="AD143" i="15"/>
  <c r="AD99" i="15"/>
  <c r="C85" i="15"/>
  <c r="C234" i="15"/>
  <c r="C389" i="15"/>
  <c r="C38" i="15"/>
  <c r="C200" i="15"/>
  <c r="C388" i="15"/>
  <c r="AD263" i="16"/>
  <c r="I311" i="6" s="1"/>
  <c r="AD315" i="15"/>
  <c r="AD261" i="15"/>
  <c r="AD157" i="15"/>
  <c r="AD114" i="15"/>
  <c r="AD71" i="15"/>
  <c r="AD26" i="15"/>
  <c r="C123" i="15"/>
  <c r="C170" i="15"/>
  <c r="C227" i="15"/>
  <c r="C279" i="15"/>
  <c r="C341" i="15"/>
  <c r="C356" i="15"/>
  <c r="C35" i="15"/>
  <c r="C83" i="6" s="1"/>
  <c r="C365" i="17"/>
  <c r="E413" i="6" s="1"/>
  <c r="O413" i="6" s="1"/>
  <c r="C41" i="17"/>
  <c r="E89" i="6" s="1"/>
  <c r="AD124" i="16"/>
  <c r="I172" i="6" s="1"/>
  <c r="C375" i="16"/>
  <c r="D423" i="6" s="1"/>
  <c r="C267" i="16"/>
  <c r="D315" i="6" s="1"/>
  <c r="C159" i="16"/>
  <c r="D207" i="6" s="1"/>
  <c r="C51" i="16"/>
  <c r="D99" i="6" s="1"/>
  <c r="AD342" i="15"/>
  <c r="AD288" i="15"/>
  <c r="AD234" i="15"/>
  <c r="AD180" i="15"/>
  <c r="AD135" i="15"/>
  <c r="AD92" i="15"/>
  <c r="AD48" i="15"/>
  <c r="C53" i="15"/>
  <c r="C110" i="15"/>
  <c r="C136" i="15"/>
  <c r="C149" i="15"/>
  <c r="C193" i="15"/>
  <c r="C206" i="15"/>
  <c r="C219" i="15"/>
  <c r="C232" i="15"/>
  <c r="C245" i="15"/>
  <c r="C289" i="15"/>
  <c r="C302" i="15"/>
  <c r="C315" i="15"/>
  <c r="C328" i="15"/>
  <c r="C347" i="15"/>
  <c r="C366" i="15"/>
  <c r="C385" i="15"/>
  <c r="C373" i="15"/>
  <c r="C392" i="15"/>
  <c r="C260" i="15"/>
  <c r="C68" i="15"/>
  <c r="C41" i="15"/>
  <c r="C29" i="15"/>
  <c r="C77" i="6" s="1"/>
  <c r="AD251" i="17"/>
  <c r="J299" i="6" s="1"/>
  <c r="C311" i="17"/>
  <c r="E359" i="6" s="1"/>
  <c r="AD371" i="16"/>
  <c r="I419" i="6" s="1"/>
  <c r="C357" i="16"/>
  <c r="D405" i="6" s="1"/>
  <c r="N405" i="6" s="1"/>
  <c r="C249" i="16"/>
  <c r="D297" i="6" s="1"/>
  <c r="N297" i="6" s="1"/>
  <c r="C33" i="16"/>
  <c r="D81" i="6" s="1"/>
  <c r="AD333" i="15"/>
  <c r="AD225" i="15"/>
  <c r="AD128" i="15"/>
  <c r="AD41" i="15"/>
  <c r="C104" i="15"/>
  <c r="C176" i="15"/>
  <c r="C202" i="15"/>
  <c r="C259" i="15"/>
  <c r="C285" i="15"/>
  <c r="C311" i="15"/>
  <c r="C344" i="15"/>
  <c r="C382" i="15"/>
  <c r="C212" i="15"/>
  <c r="C26" i="15"/>
  <c r="C74" i="6" s="1"/>
  <c r="C257" i="17"/>
  <c r="E305" i="6" s="1"/>
  <c r="AD70" i="16"/>
  <c r="I118" i="6" s="1"/>
  <c r="C231" i="16"/>
  <c r="D279" i="6" s="1"/>
  <c r="AD401" i="15"/>
  <c r="AD270" i="15"/>
  <c r="AD164" i="15"/>
  <c r="AD78" i="15"/>
  <c r="C72" i="15"/>
  <c r="C161" i="15"/>
  <c r="C187" i="15"/>
  <c r="C257" i="15"/>
  <c r="C270" i="15"/>
  <c r="C296" i="15"/>
  <c r="C355" i="15"/>
  <c r="C362" i="15"/>
  <c r="C400" i="15"/>
  <c r="C49" i="15"/>
  <c r="C25" i="15"/>
  <c r="C73" i="6" s="1"/>
  <c r="AD143" i="17"/>
  <c r="J191" i="6" s="1"/>
  <c r="C321" i="16"/>
  <c r="D369" i="6" s="1"/>
  <c r="N369" i="6" s="1"/>
  <c r="AD207" i="15"/>
  <c r="C157" i="15"/>
  <c r="C240" i="15"/>
  <c r="C266" i="15"/>
  <c r="C336" i="15"/>
  <c r="C379" i="15"/>
  <c r="C164" i="15"/>
  <c r="C353" i="15"/>
  <c r="C80" i="6"/>
  <c r="C76" i="6"/>
  <c r="C82" i="6"/>
  <c r="F24" i="6"/>
  <c r="E24" i="6"/>
  <c r="D24" i="6"/>
  <c r="N186" i="6" l="1"/>
  <c r="O449" i="6"/>
  <c r="O71" i="6"/>
  <c r="N239" i="6"/>
  <c r="N81" i="6"/>
  <c r="O308" i="6"/>
  <c r="N272" i="6"/>
  <c r="N248" i="6"/>
  <c r="N242" i="6"/>
  <c r="N236" i="6"/>
  <c r="N212" i="6"/>
  <c r="N206" i="6"/>
  <c r="N200" i="6"/>
  <c r="N176" i="6"/>
  <c r="N170" i="6"/>
  <c r="N164" i="6"/>
  <c r="N140" i="6"/>
  <c r="N134" i="6"/>
  <c r="N128" i="6"/>
  <c r="N300" i="6"/>
  <c r="N294" i="6"/>
  <c r="N288" i="6"/>
  <c r="N282" i="6"/>
  <c r="N276" i="6"/>
  <c r="N270" i="6"/>
  <c r="N264" i="6"/>
  <c r="N258" i="6"/>
  <c r="N252" i="6"/>
  <c r="N246" i="6"/>
  <c r="N234" i="6"/>
  <c r="N228" i="6"/>
  <c r="N222" i="6"/>
  <c r="N216" i="6"/>
  <c r="N210" i="6"/>
  <c r="N204" i="6"/>
  <c r="N198" i="6"/>
  <c r="O89" i="6"/>
  <c r="O266" i="6"/>
  <c r="O236" i="6"/>
  <c r="O200" i="6"/>
  <c r="O194" i="6"/>
  <c r="O164" i="6"/>
  <c r="O128" i="6"/>
  <c r="O122" i="6"/>
  <c r="O92" i="6"/>
  <c r="N422" i="6"/>
  <c r="N416" i="6"/>
  <c r="N392" i="6"/>
  <c r="N386" i="6"/>
  <c r="N380" i="6"/>
  <c r="N356" i="6"/>
  <c r="N350" i="6"/>
  <c r="N344" i="6"/>
  <c r="N320" i="6"/>
  <c r="N314" i="6"/>
  <c r="N308" i="6"/>
  <c r="N284" i="6"/>
  <c r="N278" i="6"/>
  <c r="N445" i="6"/>
  <c r="N439" i="6"/>
  <c r="N415" i="6"/>
  <c r="N403" i="6"/>
  <c r="N379" i="6"/>
  <c r="N373" i="6"/>
  <c r="N367" i="6"/>
  <c r="N343" i="6"/>
  <c r="N337" i="6"/>
  <c r="N331" i="6"/>
  <c r="N307" i="6"/>
  <c r="N301" i="6"/>
  <c r="N295" i="6"/>
  <c r="N271" i="6"/>
  <c r="N265" i="6"/>
  <c r="N259" i="6"/>
  <c r="N235" i="6"/>
  <c r="N229" i="6"/>
  <c r="N223" i="6"/>
  <c r="N199" i="6"/>
  <c r="O316" i="6"/>
  <c r="O298" i="6"/>
  <c r="O280" i="6"/>
  <c r="O208" i="6"/>
  <c r="O190" i="6"/>
  <c r="O172" i="6"/>
  <c r="O100" i="6"/>
  <c r="O82" i="6"/>
  <c r="N450" i="6"/>
  <c r="N444" i="6"/>
  <c r="N438" i="6"/>
  <c r="N432" i="6"/>
  <c r="N426" i="6"/>
  <c r="N420" i="6"/>
  <c r="N414" i="6"/>
  <c r="N408" i="6"/>
  <c r="N402" i="6"/>
  <c r="N396" i="6"/>
  <c r="N390" i="6"/>
  <c r="N384" i="6"/>
  <c r="N378" i="6"/>
  <c r="N372" i="6"/>
  <c r="N366" i="6"/>
  <c r="N360" i="6"/>
  <c r="N354" i="6"/>
  <c r="N348" i="6"/>
  <c r="N342" i="6"/>
  <c r="N330" i="6"/>
  <c r="N318" i="6"/>
  <c r="N312" i="6"/>
  <c r="N306" i="6"/>
  <c r="O401" i="6"/>
  <c r="O383" i="6"/>
  <c r="O347" i="6"/>
  <c r="O275" i="6"/>
  <c r="O239" i="6"/>
  <c r="O167" i="6"/>
  <c r="O131" i="6"/>
  <c r="N413" i="6"/>
  <c r="N395" i="6"/>
  <c r="N377" i="6"/>
  <c r="N359" i="6"/>
  <c r="N305" i="6"/>
  <c r="N287" i="6"/>
  <c r="N269" i="6"/>
  <c r="N251" i="6"/>
  <c r="N197" i="6"/>
  <c r="N185" i="6"/>
  <c r="O292" i="6"/>
  <c r="O184" i="6"/>
  <c r="O76" i="6"/>
  <c r="N436" i="6"/>
  <c r="O233" i="6"/>
  <c r="O179" i="6"/>
  <c r="O269" i="6"/>
  <c r="O161" i="6"/>
  <c r="N447" i="6"/>
  <c r="N411" i="6"/>
  <c r="N393" i="6"/>
  <c r="N339" i="6"/>
  <c r="N303" i="6"/>
  <c r="N285" i="6"/>
  <c r="N231" i="6"/>
  <c r="N195" i="6"/>
  <c r="N123" i="6"/>
  <c r="N87" i="6"/>
  <c r="N69" i="6"/>
  <c r="O364" i="6"/>
  <c r="O310" i="6"/>
  <c r="O256" i="6"/>
  <c r="O148" i="6"/>
  <c r="N388" i="6"/>
  <c r="N244" i="6"/>
  <c r="N190" i="6"/>
  <c r="N136" i="6"/>
  <c r="O197" i="6"/>
  <c r="N135" i="6"/>
  <c r="N189" i="6"/>
  <c r="N261" i="6"/>
  <c r="N153" i="6"/>
  <c r="N333" i="6"/>
  <c r="N225" i="6"/>
  <c r="N117" i="6"/>
  <c r="O305" i="6"/>
  <c r="C81" i="6"/>
  <c r="C75" i="6"/>
  <c r="O272" i="6"/>
  <c r="N428" i="6"/>
  <c r="O419" i="6"/>
  <c r="O323" i="6"/>
  <c r="O86" i="6"/>
  <c r="O158" i="6"/>
  <c r="O230" i="6"/>
  <c r="O302" i="6"/>
  <c r="N79" i="6"/>
  <c r="O261" i="6"/>
  <c r="O333" i="6"/>
  <c r="N105" i="6"/>
  <c r="N321" i="6"/>
  <c r="O95" i="6"/>
  <c r="O311" i="6"/>
  <c r="O375" i="6"/>
  <c r="O447" i="6"/>
  <c r="O143" i="6"/>
  <c r="N106" i="6"/>
  <c r="O112" i="6"/>
  <c r="N183" i="6"/>
  <c r="N291" i="6"/>
  <c r="N399" i="6"/>
  <c r="N202" i="6"/>
  <c r="N310" i="6"/>
  <c r="N418" i="6"/>
  <c r="N71" i="6"/>
  <c r="N143" i="6"/>
  <c r="N179" i="6"/>
  <c r="N215" i="6"/>
  <c r="N323" i="6"/>
  <c r="N431" i="6"/>
  <c r="O113" i="6"/>
  <c r="O221" i="6"/>
  <c r="O329" i="6"/>
  <c r="O437" i="6"/>
  <c r="N169" i="6"/>
  <c r="N74" i="6"/>
  <c r="O340" i="6"/>
  <c r="O448" i="6"/>
  <c r="O78" i="6"/>
  <c r="O114" i="6"/>
  <c r="O150" i="6"/>
  <c r="O186" i="6"/>
  <c r="O222" i="6"/>
  <c r="O258" i="6"/>
  <c r="O294" i="6"/>
  <c r="O330" i="6"/>
  <c r="O366" i="6"/>
  <c r="O402" i="6"/>
  <c r="O97" i="6"/>
  <c r="O133" i="6"/>
  <c r="O169" i="6"/>
  <c r="O205" i="6"/>
  <c r="O241" i="6"/>
  <c r="O277" i="6"/>
  <c r="O313" i="6"/>
  <c r="O68" i="6"/>
  <c r="O104" i="6"/>
  <c r="O140" i="6"/>
  <c r="O176" i="6"/>
  <c r="O212" i="6"/>
  <c r="O248" i="6"/>
  <c r="O284" i="6"/>
  <c r="O320" i="6"/>
  <c r="O356" i="6"/>
  <c r="O392" i="6"/>
  <c r="O428" i="6"/>
  <c r="O93" i="6"/>
  <c r="O129" i="6"/>
  <c r="O165" i="6"/>
  <c r="O201" i="6"/>
  <c r="O237" i="6"/>
  <c r="O273" i="6"/>
  <c r="O309" i="6"/>
  <c r="O345" i="6"/>
  <c r="O381" i="6"/>
  <c r="O417" i="6"/>
  <c r="N213" i="6"/>
  <c r="O203" i="6"/>
  <c r="N357" i="6"/>
  <c r="N232" i="6"/>
  <c r="N448" i="6"/>
  <c r="N211" i="6"/>
  <c r="N247" i="6"/>
  <c r="N319" i="6"/>
  <c r="N391" i="6"/>
  <c r="N116" i="6"/>
  <c r="N188" i="6"/>
  <c r="N224" i="6"/>
  <c r="N260" i="6"/>
  <c r="N296" i="6"/>
  <c r="N332" i="6"/>
  <c r="N368" i="6"/>
  <c r="N404" i="6"/>
  <c r="N440" i="6"/>
  <c r="O372" i="6"/>
  <c r="O408" i="6"/>
  <c r="O444" i="6"/>
  <c r="N429" i="6"/>
  <c r="O411" i="6"/>
  <c r="N352" i="6"/>
  <c r="N141" i="6"/>
  <c r="N249" i="6"/>
  <c r="N340" i="6"/>
  <c r="N112" i="6"/>
  <c r="N283" i="6"/>
  <c r="N355" i="6"/>
  <c r="N427" i="6"/>
  <c r="N152" i="6"/>
  <c r="O251" i="6"/>
  <c r="N154" i="6"/>
  <c r="N262" i="6"/>
  <c r="N267" i="6"/>
  <c r="N375" i="6"/>
  <c r="N250" i="6"/>
  <c r="O220" i="6"/>
  <c r="N111" i="6"/>
  <c r="N219" i="6"/>
  <c r="N327" i="6"/>
  <c r="N435" i="6"/>
  <c r="O125" i="6"/>
  <c r="N130" i="6"/>
  <c r="O149" i="6"/>
  <c r="O257" i="6"/>
  <c r="O365" i="6"/>
  <c r="N114" i="6"/>
  <c r="N150" i="6"/>
  <c r="O136" i="6"/>
  <c r="O244" i="6"/>
  <c r="N217" i="6"/>
  <c r="N253" i="6"/>
  <c r="N289" i="6"/>
  <c r="N325" i="6"/>
  <c r="N361" i="6"/>
  <c r="N397" i="6"/>
  <c r="N433" i="6"/>
  <c r="O335" i="6"/>
  <c r="O443" i="6"/>
  <c r="N122" i="6"/>
  <c r="N158" i="6"/>
  <c r="N194" i="6"/>
  <c r="N230" i="6"/>
  <c r="N266" i="6"/>
  <c r="N302" i="6"/>
  <c r="N338" i="6"/>
  <c r="N374" i="6"/>
  <c r="N410" i="6"/>
  <c r="N446" i="6"/>
  <c r="O376" i="6"/>
  <c r="O357" i="6"/>
  <c r="O393" i="6"/>
  <c r="O429" i="6"/>
  <c r="N131" i="6"/>
  <c r="N208" i="6"/>
  <c r="N316" i="6"/>
  <c r="N424" i="6"/>
  <c r="O287" i="6"/>
  <c r="N184" i="6"/>
  <c r="N209" i="6"/>
  <c r="N245" i="6"/>
  <c r="N281" i="6"/>
  <c r="N317" i="6"/>
  <c r="N353" i="6"/>
  <c r="N389" i="6"/>
  <c r="N425" i="6"/>
  <c r="N226" i="6"/>
  <c r="N83" i="6"/>
  <c r="N191" i="6"/>
  <c r="N299" i="6"/>
  <c r="N407" i="6"/>
  <c r="N78" i="6"/>
  <c r="N73" i="6"/>
  <c r="N86" i="6"/>
  <c r="O80" i="6"/>
  <c r="O116" i="6"/>
  <c r="O152" i="6"/>
  <c r="O188" i="6"/>
  <c r="O224" i="6"/>
  <c r="O69" i="6"/>
  <c r="O105" i="6"/>
  <c r="O141" i="6"/>
  <c r="O177" i="6"/>
  <c r="O213" i="6"/>
  <c r="O249" i="6"/>
  <c r="O285" i="6"/>
  <c r="O321" i="6"/>
  <c r="O359" i="6"/>
  <c r="N171" i="6"/>
  <c r="N243" i="6"/>
  <c r="N298" i="6"/>
  <c r="O77" i="6"/>
  <c r="O185" i="6"/>
  <c r="O293" i="6"/>
  <c r="O369" i="6"/>
  <c r="O405" i="6"/>
  <c r="O441" i="6"/>
  <c r="N387" i="6"/>
  <c r="N351" i="6"/>
  <c r="O94" i="6"/>
  <c r="O107" i="6"/>
  <c r="O431" i="6"/>
  <c r="N88" i="6"/>
  <c r="N76" i="6"/>
  <c r="N101" i="6"/>
  <c r="N263" i="6"/>
  <c r="N96" i="6"/>
  <c r="O406" i="6"/>
  <c r="N91" i="6"/>
  <c r="N127" i="6"/>
  <c r="O173" i="6"/>
  <c r="N68" i="6"/>
  <c r="N104" i="6"/>
  <c r="O72" i="6"/>
  <c r="O108" i="6"/>
  <c r="O144" i="6"/>
  <c r="O180" i="6"/>
  <c r="O216" i="6"/>
  <c r="O252" i="6"/>
  <c r="O288" i="6"/>
  <c r="O324" i="6"/>
  <c r="O360" i="6"/>
  <c r="O396" i="6"/>
  <c r="O432" i="6"/>
  <c r="O91" i="6"/>
  <c r="O127" i="6"/>
  <c r="O163" i="6"/>
  <c r="O199" i="6"/>
  <c r="O235" i="6"/>
  <c r="O271" i="6"/>
  <c r="O307" i="6"/>
  <c r="O98" i="6"/>
  <c r="O134" i="6"/>
  <c r="O170" i="6"/>
  <c r="O206" i="6"/>
  <c r="O242" i="6"/>
  <c r="O278" i="6"/>
  <c r="O314" i="6"/>
  <c r="O87" i="6"/>
  <c r="O123" i="6"/>
  <c r="O159" i="6"/>
  <c r="O195" i="6"/>
  <c r="O231" i="6"/>
  <c r="O267" i="6"/>
  <c r="O303" i="6"/>
  <c r="O339" i="6"/>
  <c r="N207" i="6"/>
  <c r="N322" i="6"/>
  <c r="N430" i="6"/>
  <c r="N107" i="6"/>
  <c r="N138" i="6"/>
  <c r="N97" i="6"/>
  <c r="N205" i="6"/>
  <c r="N241" i="6"/>
  <c r="N277" i="6"/>
  <c r="N313" i="6"/>
  <c r="N349" i="6"/>
  <c r="N385" i="6"/>
  <c r="N421" i="6"/>
  <c r="N110" i="6"/>
  <c r="N146" i="6"/>
  <c r="N182" i="6"/>
  <c r="N218" i="6"/>
  <c r="N254" i="6"/>
  <c r="N290" i="6"/>
  <c r="N326" i="6"/>
  <c r="N362" i="6"/>
  <c r="N398" i="6"/>
  <c r="N434" i="6"/>
  <c r="N99" i="6"/>
  <c r="N279" i="6"/>
  <c r="N315" i="6"/>
  <c r="O202" i="6"/>
  <c r="O215" i="6"/>
  <c r="O395" i="6"/>
  <c r="N149" i="6"/>
  <c r="O118" i="6"/>
  <c r="O226" i="6"/>
  <c r="O334" i="6"/>
  <c r="O442" i="6"/>
  <c r="N423" i="6"/>
  <c r="N370" i="6"/>
  <c r="N142" i="6"/>
  <c r="N238" i="6"/>
  <c r="N346" i="6"/>
  <c r="N227" i="6"/>
  <c r="N443" i="6"/>
  <c r="O342" i="6"/>
  <c r="O368" i="6"/>
  <c r="O404" i="6"/>
  <c r="O440" i="6"/>
  <c r="N118" i="6"/>
  <c r="N442" i="6"/>
  <c r="N75" i="6"/>
  <c r="N94" i="6"/>
  <c r="N102" i="6"/>
  <c r="N174" i="6"/>
  <c r="O83" i="6"/>
  <c r="O191" i="6"/>
  <c r="O299" i="6"/>
  <c r="O124" i="6"/>
  <c r="O232" i="6"/>
  <c r="O349" i="6"/>
  <c r="O377" i="6"/>
  <c r="O130" i="6"/>
  <c r="N77" i="6"/>
  <c r="N113" i="6"/>
  <c r="N221" i="6"/>
  <c r="N257" i="6"/>
  <c r="N293" i="6"/>
  <c r="N329" i="6"/>
  <c r="N365" i="6"/>
  <c r="N401" i="6"/>
  <c r="N437" i="6"/>
  <c r="N72" i="6"/>
  <c r="N108" i="6"/>
  <c r="N144" i="6"/>
  <c r="N180" i="6"/>
  <c r="N103" i="6"/>
  <c r="N139" i="6"/>
  <c r="N175" i="6"/>
  <c r="O101" i="6"/>
  <c r="O209" i="6"/>
  <c r="O317" i="6"/>
  <c r="N80" i="6"/>
  <c r="O142" i="6"/>
  <c r="O250" i="6"/>
  <c r="N324" i="6"/>
  <c r="O84" i="6"/>
  <c r="O120" i="6"/>
  <c r="O156" i="6"/>
  <c r="O192" i="6"/>
  <c r="O228" i="6"/>
  <c r="O264" i="6"/>
  <c r="O300" i="6"/>
  <c r="O336" i="6"/>
  <c r="N193" i="6"/>
  <c r="N409" i="6"/>
  <c r="O103" i="6"/>
  <c r="O139" i="6"/>
  <c r="O175" i="6"/>
  <c r="O211" i="6"/>
  <c r="O247" i="6"/>
  <c r="O283" i="6"/>
  <c r="O319" i="6"/>
  <c r="O74" i="6"/>
  <c r="O110" i="6"/>
  <c r="O146" i="6"/>
  <c r="O182" i="6"/>
  <c r="O218" i="6"/>
  <c r="O254" i="6"/>
  <c r="O290" i="6"/>
  <c r="O326" i="6"/>
  <c r="N159" i="6"/>
  <c r="O99" i="6"/>
  <c r="O135" i="6"/>
  <c r="O171" i="6"/>
  <c r="O207" i="6"/>
  <c r="O243" i="6"/>
  <c r="O279" i="6"/>
  <c r="O315" i="6"/>
  <c r="N119" i="6"/>
  <c r="N155" i="6"/>
  <c r="N371" i="6"/>
  <c r="N109" i="6"/>
  <c r="N145" i="6"/>
  <c r="N181" i="6"/>
  <c r="O119" i="6"/>
  <c r="O227" i="6"/>
  <c r="O160" i="6"/>
  <c r="O268" i="6"/>
  <c r="O90" i="6"/>
  <c r="O126" i="6"/>
  <c r="O162" i="6"/>
  <c r="O198" i="6"/>
  <c r="O234" i="6"/>
  <c r="O270" i="6"/>
  <c r="O306" i="6"/>
  <c r="O73" i="6"/>
  <c r="O109" i="6"/>
  <c r="O145" i="6"/>
  <c r="O181" i="6"/>
  <c r="O217" i="6"/>
  <c r="O253" i="6"/>
  <c r="O289" i="6"/>
  <c r="O325" i="6"/>
  <c r="O193" i="6"/>
  <c r="O260" i="6"/>
  <c r="O296" i="6"/>
  <c r="O332" i="6"/>
  <c r="O390" i="6"/>
  <c r="N172" i="6"/>
  <c r="N280" i="6"/>
  <c r="N334" i="6"/>
  <c r="N148" i="6"/>
  <c r="O238" i="6"/>
  <c r="N125" i="6"/>
  <c r="N233" i="6"/>
  <c r="N341" i="6"/>
  <c r="N449" i="6"/>
  <c r="N335" i="6"/>
  <c r="N120" i="6"/>
  <c r="N156" i="6"/>
  <c r="N192" i="6"/>
  <c r="N214" i="6"/>
  <c r="O154" i="6"/>
  <c r="O262" i="6"/>
  <c r="O137" i="6"/>
  <c r="O245" i="6"/>
  <c r="O70" i="6"/>
  <c r="O178" i="6"/>
  <c r="O286" i="6"/>
  <c r="N336" i="6"/>
  <c r="O96" i="6"/>
  <c r="O132" i="6"/>
  <c r="O168" i="6"/>
  <c r="O204" i="6"/>
  <c r="O240" i="6"/>
  <c r="O276" i="6"/>
  <c r="O312" i="6"/>
  <c r="O151" i="6"/>
  <c r="O187" i="6"/>
  <c r="O223" i="6"/>
  <c r="O259" i="6"/>
  <c r="O295" i="6"/>
  <c r="O331" i="6"/>
  <c r="O338" i="6"/>
  <c r="N82" i="6"/>
  <c r="N406" i="6"/>
  <c r="N70" i="6"/>
  <c r="N95" i="6"/>
  <c r="N167" i="6"/>
  <c r="N203" i="6"/>
  <c r="N275" i="6"/>
  <c r="N311" i="6"/>
  <c r="N347" i="6"/>
  <c r="N383" i="6"/>
  <c r="N419" i="6"/>
  <c r="N90" i="6"/>
  <c r="N126" i="6"/>
  <c r="N162" i="6"/>
  <c r="N85" i="6"/>
  <c r="N121" i="6"/>
  <c r="N157" i="6"/>
  <c r="O155" i="6"/>
  <c r="O263" i="6"/>
  <c r="N98" i="6"/>
  <c r="O88" i="6"/>
  <c r="O196" i="6"/>
  <c r="O304" i="6"/>
  <c r="O337" i="6"/>
  <c r="O344" i="6"/>
  <c r="N177" i="6"/>
  <c r="O438" i="6"/>
  <c r="N137" i="6"/>
  <c r="N173" i="6"/>
  <c r="N358" i="6"/>
  <c r="N163" i="6"/>
  <c r="O281" i="6"/>
  <c r="O106" i="6"/>
  <c r="O214" i="6"/>
  <c r="O322" i="6"/>
  <c r="N240" i="6"/>
  <c r="O343" i="6"/>
  <c r="O407" i="6"/>
  <c r="C89" i="6"/>
  <c r="C95" i="6"/>
  <c r="C92" i="6"/>
  <c r="C69" i="6"/>
  <c r="H78" i="6"/>
  <c r="M78" i="6" s="1"/>
  <c r="C70" i="6"/>
  <c r="H83" i="6"/>
  <c r="M83" i="6" s="1"/>
  <c r="H79" i="6"/>
  <c r="M79" i="6" s="1"/>
  <c r="H72" i="6"/>
  <c r="M72" i="6" s="1"/>
  <c r="H76" i="6"/>
  <c r="M76" i="6" s="1"/>
  <c r="H77" i="6"/>
  <c r="M77" i="6" s="1"/>
  <c r="H68" i="6"/>
  <c r="H82" i="6"/>
  <c r="M82" i="6" s="1"/>
  <c r="H71" i="6"/>
  <c r="M71" i="6" s="1"/>
  <c r="H73" i="6"/>
  <c r="M73" i="6" s="1"/>
  <c r="H75" i="6"/>
  <c r="M75" i="6" s="1"/>
  <c r="H69" i="6"/>
  <c r="H70" i="6"/>
  <c r="H74" i="6"/>
  <c r="M74" i="6" s="1"/>
  <c r="H81" i="6"/>
  <c r="M81" i="6" s="1"/>
  <c r="H80" i="6"/>
  <c r="M80" i="6" s="1"/>
  <c r="C68" i="6"/>
  <c r="C88" i="6" l="1"/>
  <c r="C96" i="6"/>
  <c r="C111" i="6"/>
  <c r="M68" i="6"/>
  <c r="C98" i="6"/>
  <c r="C97" i="6"/>
  <c r="C114" i="6"/>
  <c r="H86" i="6"/>
  <c r="H89" i="6"/>
  <c r="M89" i="6" s="1"/>
  <c r="C86" i="6"/>
  <c r="C84" i="6"/>
  <c r="C94" i="6"/>
  <c r="C113" i="6"/>
  <c r="H91" i="6"/>
  <c r="H87" i="6"/>
  <c r="H93" i="6"/>
  <c r="C104" i="6"/>
  <c r="C87" i="6"/>
  <c r="H88" i="6"/>
  <c r="M88" i="6" s="1"/>
  <c r="H95" i="6"/>
  <c r="M95" i="6" s="1"/>
  <c r="H99" i="6"/>
  <c r="H97" i="6"/>
  <c r="H98" i="6"/>
  <c r="C90" i="6"/>
  <c r="H94" i="6"/>
  <c r="H96" i="6"/>
  <c r="C99" i="6"/>
  <c r="H90" i="6"/>
  <c r="H85" i="6"/>
  <c r="H84" i="6"/>
  <c r="C112" i="6"/>
  <c r="M69" i="6"/>
  <c r="C93" i="6"/>
  <c r="C91" i="6"/>
  <c r="H92" i="6"/>
  <c r="M92" i="6" s="1"/>
  <c r="M70" i="6"/>
  <c r="C85" i="6"/>
  <c r="M96" i="6" l="1"/>
  <c r="C105" i="6"/>
  <c r="M98" i="6"/>
  <c r="M93" i="6"/>
  <c r="C108" i="6"/>
  <c r="M97" i="6"/>
  <c r="M91" i="6"/>
  <c r="M99" i="6"/>
  <c r="M87" i="6"/>
  <c r="H112" i="6"/>
  <c r="M112" i="6" s="1"/>
  <c r="H113" i="6"/>
  <c r="M113" i="6" s="1"/>
  <c r="C130" i="6"/>
  <c r="C109" i="6"/>
  <c r="H114" i="6"/>
  <c r="M114" i="6" s="1"/>
  <c r="C128" i="6"/>
  <c r="H101" i="6"/>
  <c r="M90" i="6"/>
  <c r="C103" i="6"/>
  <c r="H107" i="6"/>
  <c r="C129" i="6"/>
  <c r="C127" i="6"/>
  <c r="C107" i="6"/>
  <c r="H105" i="6"/>
  <c r="M85" i="6"/>
  <c r="C106" i="6"/>
  <c r="H115" i="6"/>
  <c r="C121" i="6"/>
  <c r="C102" i="6"/>
  <c r="C110" i="6"/>
  <c r="C101" i="6"/>
  <c r="H108" i="6"/>
  <c r="H100" i="6"/>
  <c r="H106" i="6"/>
  <c r="C120" i="6"/>
  <c r="H109" i="6"/>
  <c r="H103" i="6"/>
  <c r="C100" i="6"/>
  <c r="M86" i="6"/>
  <c r="H102" i="6"/>
  <c r="C124" i="6"/>
  <c r="C115" i="6"/>
  <c r="H110" i="6"/>
  <c r="H111" i="6"/>
  <c r="M111" i="6" s="1"/>
  <c r="H104" i="6"/>
  <c r="M104" i="6" s="1"/>
  <c r="M94" i="6"/>
  <c r="M84" i="6"/>
  <c r="M107" i="6" l="1"/>
  <c r="M100" i="6"/>
  <c r="M105" i="6"/>
  <c r="M108" i="6"/>
  <c r="M101" i="6"/>
  <c r="M115" i="6"/>
  <c r="C140" i="6"/>
  <c r="C137" i="6"/>
  <c r="C143" i="6"/>
  <c r="M109" i="6"/>
  <c r="H126" i="6"/>
  <c r="H125" i="6"/>
  <c r="H121" i="6"/>
  <c r="M121" i="6" s="1"/>
  <c r="H117" i="6"/>
  <c r="H116" i="6"/>
  <c r="H124" i="6"/>
  <c r="M124" i="6" s="1"/>
  <c r="M110" i="6"/>
  <c r="M102" i="6"/>
  <c r="C125" i="6"/>
  <c r="H118" i="6"/>
  <c r="C126" i="6"/>
  <c r="C118" i="6"/>
  <c r="H131" i="6"/>
  <c r="M106" i="6"/>
  <c r="C145" i="6"/>
  <c r="M103" i="6"/>
  <c r="H127" i="6"/>
  <c r="M127" i="6" s="1"/>
  <c r="C116" i="6"/>
  <c r="H128" i="6"/>
  <c r="M128" i="6" s="1"/>
  <c r="H120" i="6"/>
  <c r="M120" i="6" s="1"/>
  <c r="C131" i="6"/>
  <c r="H119" i="6"/>
  <c r="C136" i="6"/>
  <c r="H122" i="6"/>
  <c r="C122" i="6"/>
  <c r="C123" i="6"/>
  <c r="C119" i="6"/>
  <c r="C144" i="6"/>
  <c r="H130" i="6"/>
  <c r="M130" i="6" s="1"/>
  <c r="C146" i="6"/>
  <c r="H129" i="6"/>
  <c r="M129" i="6" s="1"/>
  <c r="C117" i="6"/>
  <c r="H123" i="6"/>
  <c r="M118" i="6" l="1"/>
  <c r="M117" i="6"/>
  <c r="M119" i="6"/>
  <c r="M126" i="6"/>
  <c r="M116" i="6"/>
  <c r="M125" i="6"/>
  <c r="M122" i="6"/>
  <c r="M131" i="6"/>
  <c r="H143" i="6"/>
  <c r="M143" i="6" s="1"/>
  <c r="C138" i="6"/>
  <c r="C152" i="6"/>
  <c r="H136" i="6"/>
  <c r="M136" i="6" s="1"/>
  <c r="C134" i="6"/>
  <c r="C135" i="6"/>
  <c r="H134" i="6"/>
  <c r="C141" i="6"/>
  <c r="H137" i="6"/>
  <c r="M137" i="6" s="1"/>
  <c r="H142" i="6"/>
  <c r="C133" i="6"/>
  <c r="H145" i="6"/>
  <c r="M145" i="6" s="1"/>
  <c r="H146" i="6"/>
  <c r="M146" i="6" s="1"/>
  <c r="M123" i="6"/>
  <c r="H135" i="6"/>
  <c r="C147" i="6"/>
  <c r="H144" i="6"/>
  <c r="M144" i="6" s="1"/>
  <c r="C161" i="6"/>
  <c r="H147" i="6"/>
  <c r="C142" i="6"/>
  <c r="H140" i="6"/>
  <c r="M140" i="6" s="1"/>
  <c r="H133" i="6"/>
  <c r="C153" i="6"/>
  <c r="H139" i="6"/>
  <c r="C162" i="6"/>
  <c r="C139" i="6"/>
  <c r="C132" i="6"/>
  <c r="H141" i="6"/>
  <c r="C159" i="6"/>
  <c r="C156" i="6"/>
  <c r="C160" i="6"/>
  <c r="H138" i="6"/>
  <c r="H132" i="6"/>
  <c r="M139" i="6" l="1"/>
  <c r="M142" i="6"/>
  <c r="M132" i="6"/>
  <c r="H154" i="6"/>
  <c r="C172" i="6"/>
  <c r="H162" i="6"/>
  <c r="M162" i="6" s="1"/>
  <c r="C148" i="6"/>
  <c r="C178" i="6"/>
  <c r="H163" i="6"/>
  <c r="C163" i="6"/>
  <c r="H161" i="6"/>
  <c r="M161" i="6" s="1"/>
  <c r="H153" i="6"/>
  <c r="M153" i="6" s="1"/>
  <c r="C168" i="6"/>
  <c r="H148" i="6"/>
  <c r="C157" i="6"/>
  <c r="C151" i="6"/>
  <c r="C158" i="6"/>
  <c r="H158" i="6"/>
  <c r="C176" i="6"/>
  <c r="C169" i="6"/>
  <c r="H156" i="6"/>
  <c r="M156" i="6" s="1"/>
  <c r="M133" i="6"/>
  <c r="M138" i="6"/>
  <c r="H159" i="6"/>
  <c r="M159" i="6" s="1"/>
  <c r="C150" i="6"/>
  <c r="H157" i="6"/>
  <c r="H160" i="6"/>
  <c r="M160" i="6" s="1"/>
  <c r="H152" i="6"/>
  <c r="M152" i="6" s="1"/>
  <c r="C155" i="6"/>
  <c r="M147" i="6"/>
  <c r="C175" i="6"/>
  <c r="H155" i="6"/>
  <c r="H149" i="6"/>
  <c r="C177" i="6"/>
  <c r="H151" i="6"/>
  <c r="C149" i="6"/>
  <c r="M141" i="6"/>
  <c r="H150" i="6"/>
  <c r="M135" i="6"/>
  <c r="M134" i="6"/>
  <c r="C154" i="6"/>
  <c r="M149" i="6" l="1"/>
  <c r="M163" i="6"/>
  <c r="M151" i="6"/>
  <c r="M148" i="6"/>
  <c r="H166" i="6"/>
  <c r="H173" i="6"/>
  <c r="C185" i="6"/>
  <c r="H171" i="6"/>
  <c r="C192" i="6"/>
  <c r="C184" i="6"/>
  <c r="H170" i="6"/>
  <c r="C165" i="6"/>
  <c r="C167" i="6"/>
  <c r="H169" i="6"/>
  <c r="M169" i="6" s="1"/>
  <c r="C194" i="6"/>
  <c r="H178" i="6"/>
  <c r="M178" i="6" s="1"/>
  <c r="H176" i="6"/>
  <c r="M176" i="6" s="1"/>
  <c r="H175" i="6"/>
  <c r="M175" i="6" s="1"/>
  <c r="H177" i="6"/>
  <c r="M177" i="6" s="1"/>
  <c r="H174" i="6"/>
  <c r="C179" i="6"/>
  <c r="C173" i="6"/>
  <c r="C188" i="6"/>
  <c r="C193" i="6"/>
  <c r="M154" i="6"/>
  <c r="C191" i="6"/>
  <c r="H168" i="6"/>
  <c r="M168" i="6" s="1"/>
  <c r="M150" i="6"/>
  <c r="C170" i="6"/>
  <c r="M155" i="6"/>
  <c r="C166" i="6"/>
  <c r="H172" i="6"/>
  <c r="M172" i="6" s="1"/>
  <c r="M158" i="6"/>
  <c r="C164" i="6"/>
  <c r="H167" i="6"/>
  <c r="H165" i="6"/>
  <c r="C171" i="6"/>
  <c r="C174" i="6"/>
  <c r="M157" i="6"/>
  <c r="H164" i="6"/>
  <c r="H179" i="6"/>
  <c r="M166" i="6" l="1"/>
  <c r="M171" i="6"/>
  <c r="M173" i="6"/>
  <c r="M165" i="6"/>
  <c r="M167" i="6"/>
  <c r="H180" i="6"/>
  <c r="H187" i="6"/>
  <c r="C182" i="6"/>
  <c r="M174" i="6"/>
  <c r="M164" i="6"/>
  <c r="H190" i="6"/>
  <c r="H194" i="6"/>
  <c r="M194" i="6" s="1"/>
  <c r="H185" i="6"/>
  <c r="M185" i="6" s="1"/>
  <c r="H181" i="6"/>
  <c r="C210" i="6"/>
  <c r="C187" i="6"/>
  <c r="C207" i="6"/>
  <c r="H192" i="6"/>
  <c r="M192" i="6" s="1"/>
  <c r="C183" i="6"/>
  <c r="C181" i="6"/>
  <c r="H186" i="6"/>
  <c r="H189" i="6"/>
  <c r="C190" i="6"/>
  <c r="M170" i="6"/>
  <c r="H184" i="6"/>
  <c r="M184" i="6" s="1"/>
  <c r="C209" i="6"/>
  <c r="H188" i="6"/>
  <c r="M188" i="6" s="1"/>
  <c r="C189" i="6"/>
  <c r="H183" i="6"/>
  <c r="C180" i="6"/>
  <c r="C186" i="6"/>
  <c r="M179" i="6"/>
  <c r="C200" i="6"/>
  <c r="H195" i="6"/>
  <c r="C208" i="6"/>
  <c r="C204" i="6"/>
  <c r="C195" i="6"/>
  <c r="H193" i="6"/>
  <c r="M193" i="6" s="1"/>
  <c r="H191" i="6"/>
  <c r="M191" i="6" s="1"/>
  <c r="C201" i="6"/>
  <c r="H182" i="6"/>
  <c r="M180" i="6" l="1"/>
  <c r="M186" i="6"/>
  <c r="M181" i="6"/>
  <c r="M189" i="6"/>
  <c r="M182" i="6"/>
  <c r="M195" i="6"/>
  <c r="C223" i="6"/>
  <c r="H206" i="6"/>
  <c r="H211" i="6"/>
  <c r="H198" i="6"/>
  <c r="C216" i="6"/>
  <c r="M190" i="6"/>
  <c r="M183" i="6"/>
  <c r="C203" i="6"/>
  <c r="H202" i="6"/>
  <c r="H199" i="6"/>
  <c r="H209" i="6"/>
  <c r="M209" i="6" s="1"/>
  <c r="C224" i="6"/>
  <c r="H208" i="6"/>
  <c r="M208" i="6" s="1"/>
  <c r="H201" i="6"/>
  <c r="M201" i="6" s="1"/>
  <c r="C226" i="6"/>
  <c r="H203" i="6"/>
  <c r="C211" i="6"/>
  <c r="C197" i="6"/>
  <c r="M187" i="6"/>
  <c r="H210" i="6"/>
  <c r="M210" i="6" s="1"/>
  <c r="C198" i="6"/>
  <c r="H207" i="6"/>
  <c r="M207" i="6" s="1"/>
  <c r="C220" i="6"/>
  <c r="C202" i="6"/>
  <c r="C205" i="6"/>
  <c r="H204" i="6"/>
  <c r="M204" i="6" s="1"/>
  <c r="C206" i="6"/>
  <c r="H205" i="6"/>
  <c r="C199" i="6"/>
  <c r="C217" i="6"/>
  <c r="C196" i="6"/>
  <c r="C225" i="6"/>
  <c r="H200" i="6"/>
  <c r="M200" i="6" s="1"/>
  <c r="H197" i="6"/>
  <c r="H196" i="6"/>
  <c r="M202" i="6" l="1"/>
  <c r="M198" i="6"/>
  <c r="M196" i="6"/>
  <c r="H220" i="6"/>
  <c r="M220" i="6" s="1"/>
  <c r="C241" i="6"/>
  <c r="C232" i="6"/>
  <c r="C233" i="6"/>
  <c r="H223" i="6"/>
  <c r="M223" i="6" s="1"/>
  <c r="C242" i="6"/>
  <c r="M203" i="6"/>
  <c r="M211" i="6"/>
  <c r="H217" i="6"/>
  <c r="M217" i="6" s="1"/>
  <c r="H213" i="6"/>
  <c r="H221" i="6"/>
  <c r="C221" i="6"/>
  <c r="H226" i="6"/>
  <c r="M226" i="6" s="1"/>
  <c r="H212" i="6"/>
  <c r="M199" i="6"/>
  <c r="C218" i="6"/>
  <c r="C236" i="6"/>
  <c r="M197" i="6"/>
  <c r="C227" i="6"/>
  <c r="H215" i="6"/>
  <c r="C239" i="6"/>
  <c r="M205" i="6"/>
  <c r="H222" i="6"/>
  <c r="C212" i="6"/>
  <c r="M206" i="6"/>
  <c r="H219" i="6"/>
  <c r="C240" i="6"/>
  <c r="C222" i="6"/>
  <c r="C219" i="6"/>
  <c r="H227" i="6"/>
  <c r="H216" i="6"/>
  <c r="M216" i="6" s="1"/>
  <c r="C215" i="6"/>
  <c r="C214" i="6"/>
  <c r="C213" i="6"/>
  <c r="H214" i="6"/>
  <c r="H224" i="6"/>
  <c r="M224" i="6" s="1"/>
  <c r="H225" i="6"/>
  <c r="M225" i="6" s="1"/>
  <c r="H218" i="6"/>
  <c r="M215" i="6" l="1"/>
  <c r="M213" i="6"/>
  <c r="M219" i="6"/>
  <c r="M212" i="6"/>
  <c r="M227" i="6"/>
  <c r="M222" i="6"/>
  <c r="M221" i="6"/>
  <c r="C243" i="6"/>
  <c r="H228" i="6"/>
  <c r="C249" i="6"/>
  <c r="C257" i="6"/>
  <c r="C238" i="6"/>
  <c r="C231" i="6"/>
  <c r="H232" i="6"/>
  <c r="M232" i="6" s="1"/>
  <c r="H235" i="6"/>
  <c r="M218" i="6"/>
  <c r="H241" i="6"/>
  <c r="M241" i="6" s="1"/>
  <c r="H240" i="6"/>
  <c r="M240" i="6" s="1"/>
  <c r="H230" i="6"/>
  <c r="C234" i="6"/>
  <c r="H242" i="6"/>
  <c r="M242" i="6" s="1"/>
  <c r="H229" i="6"/>
  <c r="C258" i="6"/>
  <c r="C230" i="6"/>
  <c r="C256" i="6"/>
  <c r="C228" i="6"/>
  <c r="H234" i="6"/>
  <c r="C229" i="6"/>
  <c r="H243" i="6"/>
  <c r="C255" i="6"/>
  <c r="H237" i="6"/>
  <c r="C248" i="6"/>
  <c r="C235" i="6"/>
  <c r="M214" i="6"/>
  <c r="H238" i="6"/>
  <c r="H231" i="6"/>
  <c r="C252" i="6"/>
  <c r="C237" i="6"/>
  <c r="H233" i="6"/>
  <c r="M233" i="6" s="1"/>
  <c r="H239" i="6"/>
  <c r="M239" i="6" s="1"/>
  <c r="H236" i="6"/>
  <c r="M236" i="6" s="1"/>
  <c r="M229" i="6" l="1"/>
  <c r="M235" i="6"/>
  <c r="M231" i="6"/>
  <c r="C251" i="6"/>
  <c r="C271" i="6"/>
  <c r="C245" i="6"/>
  <c r="C268" i="6"/>
  <c r="M228" i="6"/>
  <c r="C247" i="6"/>
  <c r="C265" i="6"/>
  <c r="H244" i="6"/>
  <c r="H255" i="6"/>
  <c r="M255" i="6" s="1"/>
  <c r="C253" i="6"/>
  <c r="H254" i="6"/>
  <c r="H259" i="6"/>
  <c r="C244" i="6"/>
  <c r="C272" i="6"/>
  <c r="M234" i="6"/>
  <c r="M238" i="6"/>
  <c r="M243" i="6"/>
  <c r="H250" i="6"/>
  <c r="M237" i="6"/>
  <c r="H246" i="6"/>
  <c r="C264" i="6"/>
  <c r="M230" i="6"/>
  <c r="C274" i="6"/>
  <c r="H245" i="6"/>
  <c r="C250" i="6"/>
  <c r="H256" i="6"/>
  <c r="M256" i="6" s="1"/>
  <c r="H257" i="6"/>
  <c r="M257" i="6" s="1"/>
  <c r="H251" i="6"/>
  <c r="C254" i="6"/>
  <c r="C259" i="6"/>
  <c r="H253" i="6"/>
  <c r="H252" i="6"/>
  <c r="M252" i="6" s="1"/>
  <c r="H249" i="6"/>
  <c r="M249" i="6" s="1"/>
  <c r="C246" i="6"/>
  <c r="H247" i="6"/>
  <c r="H258" i="6"/>
  <c r="M258" i="6" s="1"/>
  <c r="H248" i="6"/>
  <c r="M248" i="6" s="1"/>
  <c r="C273" i="6"/>
  <c r="M259" i="6" l="1"/>
  <c r="M250" i="6"/>
  <c r="M253" i="6"/>
  <c r="C280" i="6"/>
  <c r="H272" i="6"/>
  <c r="M272" i="6" s="1"/>
  <c r="C290" i="6"/>
  <c r="C288" i="6"/>
  <c r="C287" i="6"/>
  <c r="H274" i="6"/>
  <c r="M274" i="6" s="1"/>
  <c r="M254" i="6"/>
  <c r="M244" i="6"/>
  <c r="H270" i="6"/>
  <c r="H273" i="6"/>
  <c r="M273" i="6" s="1"/>
  <c r="C266" i="6"/>
  <c r="C260" i="6"/>
  <c r="C284" i="6"/>
  <c r="C267" i="6"/>
  <c r="C263" i="6"/>
  <c r="H267" i="6"/>
  <c r="H262" i="6"/>
  <c r="H260" i="6"/>
  <c r="M251" i="6"/>
  <c r="H265" i="6"/>
  <c r="M265" i="6" s="1"/>
  <c r="C270" i="6"/>
  <c r="M246" i="6"/>
  <c r="H266" i="6"/>
  <c r="C269" i="6"/>
  <c r="C281" i="6"/>
  <c r="M245" i="6"/>
  <c r="C289" i="6"/>
  <c r="H263" i="6"/>
  <c r="H271" i="6"/>
  <c r="M271" i="6" s="1"/>
  <c r="H264" i="6"/>
  <c r="M264" i="6" s="1"/>
  <c r="C262" i="6"/>
  <c r="H268" i="6"/>
  <c r="M268" i="6" s="1"/>
  <c r="H269" i="6"/>
  <c r="C275" i="6"/>
  <c r="H261" i="6"/>
  <c r="H275" i="6"/>
  <c r="M247" i="6"/>
  <c r="C261" i="6"/>
  <c r="M261" i="6" l="1"/>
  <c r="M262" i="6"/>
  <c r="M267" i="6"/>
  <c r="M266" i="6"/>
  <c r="M260" i="6"/>
  <c r="M275" i="6"/>
  <c r="H281" i="6"/>
  <c r="M281" i="6" s="1"/>
  <c r="M263" i="6"/>
  <c r="C283" i="6"/>
  <c r="H290" i="6"/>
  <c r="M290" i="6" s="1"/>
  <c r="C291" i="6"/>
  <c r="H283" i="6"/>
  <c r="C279" i="6"/>
  <c r="C276" i="6"/>
  <c r="C282" i="6"/>
  <c r="C306" i="6"/>
  <c r="C297" i="6"/>
  <c r="H291" i="6"/>
  <c r="C278" i="6"/>
  <c r="H280" i="6"/>
  <c r="M280" i="6" s="1"/>
  <c r="M269" i="6"/>
  <c r="H276" i="6"/>
  <c r="H278" i="6"/>
  <c r="H286" i="6"/>
  <c r="C303" i="6"/>
  <c r="C286" i="6"/>
  <c r="H285" i="6"/>
  <c r="C285" i="6"/>
  <c r="H289" i="6"/>
  <c r="M289" i="6" s="1"/>
  <c r="H288" i="6"/>
  <c r="M288" i="6" s="1"/>
  <c r="C296" i="6"/>
  <c r="H277" i="6"/>
  <c r="H279" i="6"/>
  <c r="H284" i="6"/>
  <c r="M284" i="6" s="1"/>
  <c r="H287" i="6"/>
  <c r="M287" i="6" s="1"/>
  <c r="C305" i="6"/>
  <c r="H282" i="6"/>
  <c r="C277" i="6"/>
  <c r="M270" i="6"/>
  <c r="C300" i="6"/>
  <c r="C304" i="6"/>
  <c r="M277" i="6" l="1"/>
  <c r="M286" i="6"/>
  <c r="M285" i="6"/>
  <c r="M278" i="6"/>
  <c r="C320" i="6"/>
  <c r="H295" i="6"/>
  <c r="H296" i="6"/>
  <c r="M296" i="6" s="1"/>
  <c r="H299" i="6"/>
  <c r="H300" i="6"/>
  <c r="M300" i="6" s="1"/>
  <c r="C312" i="6"/>
  <c r="C319" i="6"/>
  <c r="H292" i="6"/>
  <c r="C313" i="6"/>
  <c r="C292" i="6"/>
  <c r="H298" i="6"/>
  <c r="C301" i="6"/>
  <c r="C316" i="6"/>
  <c r="C293" i="6"/>
  <c r="C321" i="6"/>
  <c r="C294" i="6"/>
  <c r="H306" i="6"/>
  <c r="M306" i="6" s="1"/>
  <c r="H307" i="6"/>
  <c r="C298" i="6"/>
  <c r="H301" i="6"/>
  <c r="H305" i="6"/>
  <c r="M305" i="6" s="1"/>
  <c r="C302" i="6"/>
  <c r="H302" i="6"/>
  <c r="M279" i="6"/>
  <c r="M283" i="6"/>
  <c r="H293" i="6"/>
  <c r="H294" i="6"/>
  <c r="C307" i="6"/>
  <c r="M276" i="6"/>
  <c r="H303" i="6"/>
  <c r="M303" i="6" s="1"/>
  <c r="H304" i="6"/>
  <c r="M304" i="6" s="1"/>
  <c r="C322" i="6"/>
  <c r="M282" i="6"/>
  <c r="C295" i="6"/>
  <c r="M291" i="6"/>
  <c r="C299" i="6"/>
  <c r="H297" i="6"/>
  <c r="M297" i="6" s="1"/>
  <c r="M295" i="6" l="1"/>
  <c r="M292" i="6"/>
  <c r="C311" i="6"/>
  <c r="H313" i="6"/>
  <c r="M313" i="6" s="1"/>
  <c r="H309" i="6"/>
  <c r="H318" i="6"/>
  <c r="H323" i="6"/>
  <c r="H314" i="6"/>
  <c r="C335" i="6"/>
  <c r="H316" i="6"/>
  <c r="M316" i="6" s="1"/>
  <c r="C309" i="6"/>
  <c r="H315" i="6"/>
  <c r="H312" i="6"/>
  <c r="M312" i="6" s="1"/>
  <c r="H320" i="6"/>
  <c r="M320" i="6" s="1"/>
  <c r="M293" i="6"/>
  <c r="C315" i="6"/>
  <c r="C338" i="6"/>
  <c r="H319" i="6"/>
  <c r="M319" i="6" s="1"/>
  <c r="H322" i="6"/>
  <c r="M322" i="6" s="1"/>
  <c r="H308" i="6"/>
  <c r="M299" i="6"/>
  <c r="M307" i="6"/>
  <c r="M302" i="6"/>
  <c r="H317" i="6"/>
  <c r="M298" i="6"/>
  <c r="M301" i="6"/>
  <c r="H311" i="6"/>
  <c r="H310" i="6"/>
  <c r="H321" i="6"/>
  <c r="M321" i="6" s="1"/>
  <c r="C310" i="6"/>
  <c r="C323" i="6"/>
  <c r="C318" i="6"/>
  <c r="C314" i="6"/>
  <c r="C332" i="6"/>
  <c r="C317" i="6"/>
  <c r="C329" i="6"/>
  <c r="C328" i="6"/>
  <c r="M294" i="6"/>
  <c r="C337" i="6"/>
  <c r="C308" i="6"/>
  <c r="C336" i="6"/>
  <c r="M323" i="6" l="1"/>
  <c r="M317" i="6"/>
  <c r="M309" i="6"/>
  <c r="M318" i="6"/>
  <c r="M314" i="6"/>
  <c r="M308" i="6"/>
  <c r="M310" i="6"/>
  <c r="C334" i="6"/>
  <c r="C339" i="6"/>
  <c r="C326" i="6"/>
  <c r="H328" i="6"/>
  <c r="M328" i="6" s="1"/>
  <c r="C333" i="6"/>
  <c r="C324" i="6"/>
  <c r="C330" i="6"/>
  <c r="H327" i="6"/>
  <c r="H333" i="6"/>
  <c r="H338" i="6"/>
  <c r="M338" i="6" s="1"/>
  <c r="H330" i="6"/>
  <c r="C352" i="6"/>
  <c r="C344" i="6"/>
  <c r="C345" i="6"/>
  <c r="H326" i="6"/>
  <c r="C354" i="6"/>
  <c r="H331" i="6"/>
  <c r="H332" i="6"/>
  <c r="M332" i="6" s="1"/>
  <c r="C351" i="6"/>
  <c r="H334" i="6"/>
  <c r="H329" i="6"/>
  <c r="M329" i="6" s="1"/>
  <c r="H335" i="6"/>
  <c r="M335" i="6" s="1"/>
  <c r="C353" i="6"/>
  <c r="C348" i="6"/>
  <c r="H324" i="6"/>
  <c r="M315" i="6"/>
  <c r="C325" i="6"/>
  <c r="M311" i="6"/>
  <c r="H337" i="6"/>
  <c r="M337" i="6" s="1"/>
  <c r="C331" i="6"/>
  <c r="H336" i="6"/>
  <c r="M336" i="6" s="1"/>
  <c r="H339" i="6"/>
  <c r="H325" i="6"/>
  <c r="C327" i="6"/>
  <c r="M327" i="6" l="1"/>
  <c r="M331" i="6"/>
  <c r="M339" i="6"/>
  <c r="H352" i="6"/>
  <c r="M352" i="6" s="1"/>
  <c r="H345" i="6"/>
  <c r="M345" i="6" s="1"/>
  <c r="H348" i="6"/>
  <c r="M348" i="6" s="1"/>
  <c r="H346" i="6"/>
  <c r="M330" i="6"/>
  <c r="C355" i="6"/>
  <c r="C364" i="6"/>
  <c r="C361" i="6"/>
  <c r="C368" i="6"/>
  <c r="C346" i="6"/>
  <c r="M326" i="6"/>
  <c r="M334" i="6"/>
  <c r="C369" i="6"/>
  <c r="H353" i="6"/>
  <c r="M353" i="6" s="1"/>
  <c r="M325" i="6"/>
  <c r="H340" i="6"/>
  <c r="H351" i="6"/>
  <c r="M351" i="6" s="1"/>
  <c r="H350" i="6"/>
  <c r="H347" i="6"/>
  <c r="H349" i="6"/>
  <c r="M333" i="6"/>
  <c r="H344" i="6"/>
  <c r="M344" i="6" s="1"/>
  <c r="C342" i="6"/>
  <c r="C350" i="6"/>
  <c r="H355" i="6"/>
  <c r="C343" i="6"/>
  <c r="C347" i="6"/>
  <c r="C341" i="6"/>
  <c r="H342" i="6"/>
  <c r="C360" i="6"/>
  <c r="M324" i="6"/>
  <c r="C349" i="6"/>
  <c r="H341" i="6"/>
  <c r="C367" i="6"/>
  <c r="C370" i="6"/>
  <c r="H354" i="6"/>
  <c r="M354" i="6" s="1"/>
  <c r="H343" i="6"/>
  <c r="C340" i="6"/>
  <c r="M340" i="6" l="1"/>
  <c r="M346" i="6"/>
  <c r="M350" i="6"/>
  <c r="M341" i="6"/>
  <c r="M349" i="6"/>
  <c r="M347" i="6"/>
  <c r="H364" i="6"/>
  <c r="M364" i="6" s="1"/>
  <c r="H366" i="6"/>
  <c r="H369" i="6"/>
  <c r="M369" i="6" s="1"/>
  <c r="H361" i="6"/>
  <c r="M361" i="6" s="1"/>
  <c r="C356" i="6"/>
  <c r="H365" i="6"/>
  <c r="H367" i="6"/>
  <c r="M367" i="6" s="1"/>
  <c r="C380" i="6"/>
  <c r="C366" i="6"/>
  <c r="C385" i="6"/>
  <c r="C377" i="6"/>
  <c r="H359" i="6"/>
  <c r="M343" i="6"/>
  <c r="C383" i="6"/>
  <c r="H357" i="6"/>
  <c r="C363" i="6"/>
  <c r="C359" i="6"/>
  <c r="C358" i="6"/>
  <c r="C362" i="6"/>
  <c r="C365" i="6"/>
  <c r="H370" i="6"/>
  <c r="M370" i="6" s="1"/>
  <c r="H358" i="6"/>
  <c r="C376" i="6"/>
  <c r="M355" i="6"/>
  <c r="H362" i="6"/>
  <c r="H363" i="6"/>
  <c r="C357" i="6"/>
  <c r="M342" i="6"/>
  <c r="C386" i="6"/>
  <c r="H371" i="6"/>
  <c r="H360" i="6"/>
  <c r="M360" i="6" s="1"/>
  <c r="H356" i="6"/>
  <c r="C384" i="6"/>
  <c r="C371" i="6"/>
  <c r="H368" i="6"/>
  <c r="M368" i="6" s="1"/>
  <c r="M366" i="6" l="1"/>
  <c r="M359" i="6"/>
  <c r="M357" i="6"/>
  <c r="M365" i="6"/>
  <c r="M371" i="6"/>
  <c r="C373" i="6"/>
  <c r="C378" i="6"/>
  <c r="H373" i="6"/>
  <c r="C393" i="6"/>
  <c r="C382" i="6"/>
  <c r="C387" i="6"/>
  <c r="C402" i="6"/>
  <c r="H386" i="6"/>
  <c r="M386" i="6" s="1"/>
  <c r="C375" i="6"/>
  <c r="C396" i="6"/>
  <c r="H385" i="6"/>
  <c r="M385" i="6" s="1"/>
  <c r="H376" i="6"/>
  <c r="M376" i="6" s="1"/>
  <c r="H378" i="6"/>
  <c r="M362" i="6"/>
  <c r="C374" i="6"/>
  <c r="C399" i="6"/>
  <c r="H381" i="6"/>
  <c r="H384" i="6"/>
  <c r="M384" i="6" s="1"/>
  <c r="M363" i="6"/>
  <c r="H375" i="6"/>
  <c r="C401" i="6"/>
  <c r="H377" i="6"/>
  <c r="M377" i="6" s="1"/>
  <c r="C400" i="6"/>
  <c r="H379" i="6"/>
  <c r="C392" i="6"/>
  <c r="H372" i="6"/>
  <c r="H387" i="6"/>
  <c r="C381" i="6"/>
  <c r="C379" i="6"/>
  <c r="H383" i="6"/>
  <c r="M383" i="6" s="1"/>
  <c r="M356" i="6"/>
  <c r="H374" i="6"/>
  <c r="M358" i="6"/>
  <c r="C372" i="6"/>
  <c r="H382" i="6"/>
  <c r="H380" i="6"/>
  <c r="M380" i="6" s="1"/>
  <c r="M381" i="6" l="1"/>
  <c r="M379" i="6"/>
  <c r="M372" i="6"/>
  <c r="H393" i="6"/>
  <c r="M393" i="6" s="1"/>
  <c r="M378" i="6"/>
  <c r="H391" i="6"/>
  <c r="H397" i="6"/>
  <c r="H401" i="6"/>
  <c r="M401" i="6" s="1"/>
  <c r="H402" i="6"/>
  <c r="M402" i="6" s="1"/>
  <c r="H399" i="6"/>
  <c r="M399" i="6" s="1"/>
  <c r="M387" i="6"/>
  <c r="C409" i="6"/>
  <c r="C394" i="6"/>
  <c r="C391" i="6"/>
  <c r="H403" i="6"/>
  <c r="C408" i="6"/>
  <c r="C416" i="6"/>
  <c r="C415" i="6"/>
  <c r="C403" i="6"/>
  <c r="H394" i="6"/>
  <c r="H396" i="6"/>
  <c r="M396" i="6" s="1"/>
  <c r="H390" i="6"/>
  <c r="C395" i="6"/>
  <c r="C397" i="6"/>
  <c r="C417" i="6"/>
  <c r="H400" i="6"/>
  <c r="M400" i="6" s="1"/>
  <c r="M374" i="6"/>
  <c r="H392" i="6"/>
  <c r="M392" i="6" s="1"/>
  <c r="C412" i="6"/>
  <c r="H389" i="6"/>
  <c r="M373" i="6"/>
  <c r="C398" i="6"/>
  <c r="H398" i="6"/>
  <c r="C388" i="6"/>
  <c r="H388" i="6"/>
  <c r="H395" i="6"/>
  <c r="C390" i="6"/>
  <c r="M375" i="6"/>
  <c r="C418" i="6"/>
  <c r="M382" i="6"/>
  <c r="C389" i="6"/>
  <c r="M389" i="6" l="1"/>
  <c r="M403" i="6"/>
  <c r="M391" i="6"/>
  <c r="M390" i="6"/>
  <c r="M398" i="6"/>
  <c r="M395" i="6"/>
  <c r="C413" i="6"/>
  <c r="H404" i="6"/>
  <c r="H405" i="6"/>
  <c r="H406" i="6"/>
  <c r="C440" i="6"/>
  <c r="C424" i="6"/>
  <c r="H413" i="6"/>
  <c r="C444" i="6"/>
  <c r="C428" i="6"/>
  <c r="C405" i="6"/>
  <c r="C404" i="6"/>
  <c r="H416" i="6"/>
  <c r="M416" i="6" s="1"/>
  <c r="C450" i="6"/>
  <c r="C434" i="6"/>
  <c r="H408" i="6"/>
  <c r="M408" i="6" s="1"/>
  <c r="C411" i="6"/>
  <c r="H410" i="6"/>
  <c r="C447" i="6"/>
  <c r="C431" i="6"/>
  <c r="M394" i="6"/>
  <c r="H409" i="6"/>
  <c r="M409" i="6" s="1"/>
  <c r="C449" i="6"/>
  <c r="C433" i="6"/>
  <c r="H411" i="6"/>
  <c r="H414" i="6"/>
  <c r="C407" i="6"/>
  <c r="C410" i="6"/>
  <c r="H418" i="6"/>
  <c r="M418" i="6" s="1"/>
  <c r="H412" i="6"/>
  <c r="M412" i="6" s="1"/>
  <c r="C419" i="6"/>
  <c r="M388" i="6"/>
  <c r="C406" i="6"/>
  <c r="C414" i="6"/>
  <c r="M397" i="6"/>
  <c r="C448" i="6"/>
  <c r="C432" i="6"/>
  <c r="H419" i="6"/>
  <c r="C441" i="6"/>
  <c r="C425" i="6"/>
  <c r="H415" i="6"/>
  <c r="M415" i="6" s="1"/>
  <c r="H417" i="6"/>
  <c r="M417" i="6" s="1"/>
  <c r="H407" i="6"/>
  <c r="M414" i="6" l="1"/>
  <c r="M406" i="6"/>
  <c r="M405" i="6"/>
  <c r="M404" i="6"/>
  <c r="H450" i="6"/>
  <c r="M450" i="6" s="1"/>
  <c r="H434" i="6"/>
  <c r="M434" i="6" s="1"/>
  <c r="C442" i="6"/>
  <c r="C426" i="6"/>
  <c r="H444" i="6"/>
  <c r="M444" i="6" s="1"/>
  <c r="H428" i="6"/>
  <c r="M428" i="6" s="1"/>
  <c r="M407" i="6"/>
  <c r="H442" i="6"/>
  <c r="H426" i="6"/>
  <c r="H447" i="6"/>
  <c r="M447" i="6" s="1"/>
  <c r="H431" i="6"/>
  <c r="M431" i="6" s="1"/>
  <c r="C436" i="6"/>
  <c r="C420" i="6"/>
  <c r="H437" i="6"/>
  <c r="H421" i="6"/>
  <c r="H449" i="6"/>
  <c r="M449" i="6" s="1"/>
  <c r="H433" i="6"/>
  <c r="M433" i="6" s="1"/>
  <c r="C446" i="6"/>
  <c r="C430" i="6"/>
  <c r="M419" i="6"/>
  <c r="C439" i="6"/>
  <c r="C423" i="6"/>
  <c r="H443" i="6"/>
  <c r="H427" i="6"/>
  <c r="H440" i="6"/>
  <c r="M440" i="6" s="1"/>
  <c r="H424" i="6"/>
  <c r="M424" i="6" s="1"/>
  <c r="H436" i="6"/>
  <c r="H420" i="6"/>
  <c r="M413" i="6"/>
  <c r="C437" i="6"/>
  <c r="C421" i="6"/>
  <c r="C451" i="6"/>
  <c r="C435" i="6"/>
  <c r="H441" i="6"/>
  <c r="M441" i="6" s="1"/>
  <c r="H425" i="6"/>
  <c r="M425" i="6" s="1"/>
  <c r="M411" i="6"/>
  <c r="C445" i="6"/>
  <c r="C429" i="6"/>
  <c r="H439" i="6"/>
  <c r="H423" i="6"/>
  <c r="H451" i="6"/>
  <c r="H435" i="6"/>
  <c r="C438" i="6"/>
  <c r="C422" i="6"/>
  <c r="H446" i="6"/>
  <c r="H430" i="6"/>
  <c r="C443" i="6"/>
  <c r="C427" i="6"/>
  <c r="H448" i="6"/>
  <c r="M448" i="6" s="1"/>
  <c r="H432" i="6"/>
  <c r="M432" i="6" s="1"/>
  <c r="H438" i="6"/>
  <c r="H422" i="6"/>
  <c r="M410" i="6"/>
  <c r="H445" i="6"/>
  <c r="H429" i="6"/>
  <c r="M427" i="6" l="1"/>
  <c r="M443" i="6"/>
  <c r="M421" i="6"/>
  <c r="M442" i="6"/>
  <c r="M423" i="6"/>
  <c r="M420" i="6"/>
  <c r="M439" i="6"/>
  <c r="M436" i="6"/>
  <c r="M422" i="6"/>
  <c r="M429" i="6"/>
  <c r="M438" i="6"/>
  <c r="M445" i="6"/>
  <c r="M435" i="6"/>
  <c r="M437" i="6"/>
  <c r="M430" i="6"/>
  <c r="M451" i="6"/>
  <c r="M446" i="6"/>
  <c r="M426" i="6"/>
</calcChain>
</file>

<file path=xl/sharedStrings.xml><?xml version="1.0" encoding="utf-8"?>
<sst xmlns="http://schemas.openxmlformats.org/spreadsheetml/2006/main" count="3857" uniqueCount="1299">
  <si>
    <t>Post-TB</t>
  </si>
  <si>
    <t>Vaccination</t>
  </si>
  <si>
    <t>Prison screening</t>
  </si>
  <si>
    <t>Cost-effectiveness thresholds</t>
  </si>
  <si>
    <t>Parameter name</t>
  </si>
  <si>
    <t>BRAZIL</t>
  </si>
  <si>
    <t>TPT for DS-TB</t>
  </si>
  <si>
    <t>TPT for DR-TB</t>
  </si>
  <si>
    <t>INDIA</t>
  </si>
  <si>
    <t>SOUTH AFRICA</t>
  </si>
  <si>
    <t>Clinic diagnosis - standard</t>
  </si>
  <si>
    <t>Clinic diagnosis - improved</t>
  </si>
  <si>
    <t>DS-TB treatment - standard</t>
  </si>
  <si>
    <t>DS-TB treatment - shortened</t>
  </si>
  <si>
    <t>DR-TB treatment - standard</t>
  </si>
  <si>
    <t>DR-TB treatment - shortened</t>
  </si>
  <si>
    <t>Low CET</t>
  </si>
  <si>
    <t>Discount rates</t>
  </si>
  <si>
    <t>Disability weights</t>
  </si>
  <si>
    <t>Utility weights</t>
  </si>
  <si>
    <t>ECONOMIC PARAMETERS for all analyses</t>
  </si>
  <si>
    <t>Clinical TB</t>
  </si>
  <si>
    <t>dw_TB</t>
  </si>
  <si>
    <t>dw_postTB</t>
  </si>
  <si>
    <t>BRA</t>
  </si>
  <si>
    <t>IND</t>
  </si>
  <si>
    <t>ZAF</t>
  </si>
  <si>
    <t>disc</t>
  </si>
  <si>
    <t>Discount rate (for costs and benefits)</t>
  </si>
  <si>
    <t>disc_factor</t>
  </si>
  <si>
    <t>Discount formula</t>
  </si>
  <si>
    <t>No TB/TB infection</t>
  </si>
  <si>
    <t>u_healthy</t>
  </si>
  <si>
    <t>u_TB</t>
  </si>
  <si>
    <t>u_postTB</t>
  </si>
  <si>
    <t>Hight CET</t>
  </si>
  <si>
    <t>cet_low</t>
  </si>
  <si>
    <t>cet_high</t>
  </si>
  <si>
    <t>Parameter</t>
  </si>
  <si>
    <t>compiled from unit costs and resource use</t>
  </si>
  <si>
    <t>Drug sensitivity testing</t>
  </si>
  <si>
    <t>c_a_diag_standard</t>
  </si>
  <si>
    <t>c_a_diag_improved</t>
  </si>
  <si>
    <t>c_a_DST</t>
  </si>
  <si>
    <t>c_a_treat_DS_standard</t>
  </si>
  <si>
    <t>c_a_treat_DS_improved</t>
  </si>
  <si>
    <t>c_a_treat_DR_standard</t>
  </si>
  <si>
    <t>c_a_treat_DR_improved</t>
  </si>
  <si>
    <t>c_a_prison</t>
  </si>
  <si>
    <t>c_a_HHCM</t>
  </si>
  <si>
    <t>c_a_TPT_DS</t>
  </si>
  <si>
    <t>c_a_TPT_DR</t>
  </si>
  <si>
    <t>LIFE YEAR calculations</t>
  </si>
  <si>
    <t>LY_healthy_y1_ag1</t>
  </si>
  <si>
    <t>LY_healthy_y1_ag2</t>
  </si>
  <si>
    <t>LY_healthy_y1_ag3</t>
  </si>
  <si>
    <t>LY_healthy_y1_ag4</t>
  </si>
  <si>
    <t>LY_healthy_y1_ag5</t>
  </si>
  <si>
    <t>LY_healthy_y1_ag6</t>
  </si>
  <si>
    <t>LY_healthy_y1_ag7</t>
  </si>
  <si>
    <t>LY_healthy_y1_ag8</t>
  </si>
  <si>
    <t>LY_healthy_y1_ag9</t>
  </si>
  <si>
    <t>LY_healthy_y1_ag10</t>
  </si>
  <si>
    <t>LY_healthy_y1_ag11</t>
  </si>
  <si>
    <t>LY_healthy_y1_ag12</t>
  </si>
  <si>
    <t>LY_healthy_y1_ag13</t>
  </si>
  <si>
    <t>LY_healthy_y1_ag14</t>
  </si>
  <si>
    <t>LY_healthy_y1_ag15</t>
  </si>
  <si>
    <t>LY_healthy_y1_ag16</t>
  </si>
  <si>
    <t>LY_healthy_y2_ag1</t>
  </si>
  <si>
    <t>LY_healthy_y2_ag2</t>
  </si>
  <si>
    <t>LY_healthy_y2_ag3</t>
  </si>
  <si>
    <t>LY_healthy_y2_ag4</t>
  </si>
  <si>
    <t>LY_healthy_y2_ag5</t>
  </si>
  <si>
    <t>LY_healthy_y2_ag6</t>
  </si>
  <si>
    <t>LY_healthy_y2_ag7</t>
  </si>
  <si>
    <t>LY_healthy_y2_ag8</t>
  </si>
  <si>
    <t>LY_healthy_y2_ag9</t>
  </si>
  <si>
    <t>LY_healthy_y2_ag10</t>
  </si>
  <si>
    <t>LY_healthy_y2_ag11</t>
  </si>
  <si>
    <t>LY_healthy_y2_ag12</t>
  </si>
  <si>
    <t>LY_healthy_y2_ag13</t>
  </si>
  <si>
    <t>LY_healthy_y2_ag14</t>
  </si>
  <si>
    <t>LY_healthy_y2_ag15</t>
  </si>
  <si>
    <t>LY_healthy_y2_ag16</t>
  </si>
  <si>
    <t>LY_healthy_y3_ag1</t>
  </si>
  <si>
    <t>LY_healthy_y3_ag2</t>
  </si>
  <si>
    <t>LY_healthy_y3_ag3</t>
  </si>
  <si>
    <t>LY_healthy_y3_ag4</t>
  </si>
  <si>
    <t>LY_healthy_y3_ag5</t>
  </si>
  <si>
    <t>LY_healthy_y3_ag6</t>
  </si>
  <si>
    <t>LY_healthy_y3_ag7</t>
  </si>
  <si>
    <t>LY_healthy_y3_ag8</t>
  </si>
  <si>
    <t>LY_healthy_y3_ag9</t>
  </si>
  <si>
    <t>LY_healthy_y3_ag10</t>
  </si>
  <si>
    <t>LY_healthy_y3_ag11</t>
  </si>
  <si>
    <t>LY_healthy_y3_ag12</t>
  </si>
  <si>
    <t>LY_healthy_y3_ag13</t>
  </si>
  <si>
    <t>LY_healthy_y3_ag14</t>
  </si>
  <si>
    <t>LY_healthy_y3_ag15</t>
  </si>
  <si>
    <t>LY_healthy_y3_ag16</t>
  </si>
  <si>
    <t>LY_healthy_y4_ag1</t>
  </si>
  <si>
    <t>LY_healthy_y4_ag2</t>
  </si>
  <si>
    <t>LY_healthy_y4_ag3</t>
  </si>
  <si>
    <t>LY_healthy_y4_ag4</t>
  </si>
  <si>
    <t>LY_healthy_y4_ag5</t>
  </si>
  <si>
    <t>LY_healthy_y4_ag6</t>
  </si>
  <si>
    <t>LY_healthy_y4_ag7</t>
  </si>
  <si>
    <t>LY_healthy_y4_ag8</t>
  </si>
  <si>
    <t>LY_healthy_y4_ag9</t>
  </si>
  <si>
    <t>LY_healthy_y4_ag10</t>
  </si>
  <si>
    <t>LY_healthy_y4_ag11</t>
  </si>
  <si>
    <t>LY_healthy_y4_ag12</t>
  </si>
  <si>
    <t>LY_healthy_y4_ag13</t>
  </si>
  <si>
    <t>LY_healthy_y4_ag14</t>
  </si>
  <si>
    <t>LY_healthy_y4_ag15</t>
  </si>
  <si>
    <t>LY_healthy_y4_ag16</t>
  </si>
  <si>
    <t>LY_healthy_y5_ag1</t>
  </si>
  <si>
    <t>LY_healthy_y5_ag2</t>
  </si>
  <si>
    <t>LY_healthy_y5_ag3</t>
  </si>
  <si>
    <t>LY_healthy_y5_ag4</t>
  </si>
  <si>
    <t>LY_healthy_y5_ag5</t>
  </si>
  <si>
    <t>LY_healthy_y5_ag6</t>
  </si>
  <si>
    <t>LY_healthy_y5_ag7</t>
  </si>
  <si>
    <t>LY_healthy_y5_ag8</t>
  </si>
  <si>
    <t>LY_healthy_y5_ag9</t>
  </si>
  <si>
    <t>LY_healthy_y5_ag10</t>
  </si>
  <si>
    <t>LY_healthy_y5_ag11</t>
  </si>
  <si>
    <t>LY_healthy_y5_ag12</t>
  </si>
  <si>
    <t>LY_healthy_y5_ag13</t>
  </si>
  <si>
    <t>LY_healthy_y5_ag14</t>
  </si>
  <si>
    <t>LY_healthy_y5_ag15</t>
  </si>
  <si>
    <t>LY_healthy_y5_ag16</t>
  </si>
  <si>
    <t>LY_healthy_y6_ag1</t>
  </si>
  <si>
    <t>LY_healthy_y6_ag2</t>
  </si>
  <si>
    <t>LY_healthy_y6_ag3</t>
  </si>
  <si>
    <t>LY_healthy_y6_ag4</t>
  </si>
  <si>
    <t>LY_healthy_y6_ag5</t>
  </si>
  <si>
    <t>LY_healthy_y6_ag6</t>
  </si>
  <si>
    <t>LY_healthy_y6_ag7</t>
  </si>
  <si>
    <t>LY_healthy_y6_ag8</t>
  </si>
  <si>
    <t>LY_healthy_y6_ag9</t>
  </si>
  <si>
    <t>LY_healthy_y6_ag10</t>
  </si>
  <si>
    <t>LY_healthy_y6_ag11</t>
  </si>
  <si>
    <t>LY_healthy_y6_ag12</t>
  </si>
  <si>
    <t>LY_healthy_y6_ag13</t>
  </si>
  <si>
    <t>LY_healthy_y6_ag14</t>
  </si>
  <si>
    <t>LY_healthy_y6_ag15</t>
  </si>
  <si>
    <t>LY_healthy_y6_ag16</t>
  </si>
  <si>
    <t>LY_healthy_y7_ag1</t>
  </si>
  <si>
    <t>LY_healthy_y7_ag2</t>
  </si>
  <si>
    <t>LY_healthy_y7_ag3</t>
  </si>
  <si>
    <t>LY_healthy_y7_ag4</t>
  </si>
  <si>
    <t>LY_healthy_y7_ag5</t>
  </si>
  <si>
    <t>LY_healthy_y7_ag6</t>
  </si>
  <si>
    <t>LY_healthy_y7_ag7</t>
  </si>
  <si>
    <t>LY_healthy_y7_ag8</t>
  </si>
  <si>
    <t>LY_healthy_y7_ag9</t>
  </si>
  <si>
    <t>LY_healthy_y7_ag10</t>
  </si>
  <si>
    <t>LY_healthy_y7_ag11</t>
  </si>
  <si>
    <t>LY_healthy_y7_ag12</t>
  </si>
  <si>
    <t>LY_healthy_y7_ag13</t>
  </si>
  <si>
    <t>LY_healthy_y7_ag14</t>
  </si>
  <si>
    <t>LY_healthy_y7_ag15</t>
  </si>
  <si>
    <t>LY_healthy_y7_ag16</t>
  </si>
  <si>
    <t>LY_healthy_y8_ag1</t>
  </si>
  <si>
    <t>LY_healthy_y8_ag2</t>
  </si>
  <si>
    <t>LY_healthy_y8_ag3</t>
  </si>
  <si>
    <t>LY_healthy_y8_ag4</t>
  </si>
  <si>
    <t>LY_healthy_y8_ag5</t>
  </si>
  <si>
    <t>LY_healthy_y8_ag6</t>
  </si>
  <si>
    <t>LY_healthy_y8_ag7</t>
  </si>
  <si>
    <t>LY_healthy_y8_ag8</t>
  </si>
  <si>
    <t>LY_healthy_y8_ag9</t>
  </si>
  <si>
    <t>LY_healthy_y8_ag10</t>
  </si>
  <si>
    <t>LY_healthy_y8_ag11</t>
  </si>
  <si>
    <t>LY_healthy_y8_ag12</t>
  </si>
  <si>
    <t>LY_healthy_y8_ag13</t>
  </si>
  <si>
    <t>LY_healthy_y8_ag14</t>
  </si>
  <si>
    <t>LY_healthy_y8_ag15</t>
  </si>
  <si>
    <t>LY_healthy_y8_ag16</t>
  </si>
  <si>
    <t>LY_healthy_y9_ag1</t>
  </si>
  <si>
    <t>LY_healthy_y9_ag2</t>
  </si>
  <si>
    <t>LY_healthy_y9_ag3</t>
  </si>
  <si>
    <t>LY_healthy_y9_ag4</t>
  </si>
  <si>
    <t>LY_healthy_y9_ag5</t>
  </si>
  <si>
    <t>LY_healthy_y9_ag6</t>
  </si>
  <si>
    <t>LY_healthy_y9_ag7</t>
  </si>
  <si>
    <t>LY_healthy_y9_ag8</t>
  </si>
  <si>
    <t>LY_healthy_y9_ag9</t>
  </si>
  <si>
    <t>LY_healthy_y9_ag10</t>
  </si>
  <si>
    <t>LY_healthy_y9_ag11</t>
  </si>
  <si>
    <t>LY_healthy_y9_ag12</t>
  </si>
  <si>
    <t>LY_healthy_y9_ag13</t>
  </si>
  <si>
    <t>LY_healthy_y9_ag14</t>
  </si>
  <si>
    <t>LY_healthy_y9_ag15</t>
  </si>
  <si>
    <t>LY_healthy_y9_ag16</t>
  </si>
  <si>
    <t>LY_healthy_y10_ag1</t>
  </si>
  <si>
    <t>LY_healthy_y10_ag2</t>
  </si>
  <si>
    <t>LY_healthy_y10_ag3</t>
  </si>
  <si>
    <t>LY_healthy_y10_ag4</t>
  </si>
  <si>
    <t>LY_healthy_y10_ag5</t>
  </si>
  <si>
    <t>LY_healthy_y10_ag6</t>
  </si>
  <si>
    <t>LY_healthy_y10_ag7</t>
  </si>
  <si>
    <t>LY_healthy_y10_ag8</t>
  </si>
  <si>
    <t>LY_healthy_y10_ag9</t>
  </si>
  <si>
    <t>LY_healthy_y10_ag10</t>
  </si>
  <si>
    <t>LY_healthy_y10_ag11</t>
  </si>
  <si>
    <t>LY_healthy_y10_ag12</t>
  </si>
  <si>
    <t>LY_healthy_y10_ag13</t>
  </si>
  <si>
    <t>LY_healthy_y10_ag14</t>
  </si>
  <si>
    <t>LY_healthy_y10_ag15</t>
  </si>
  <si>
    <t>LY_healthy_y10_ag16</t>
  </si>
  <si>
    <t>LY_healthy_y11_ag1</t>
  </si>
  <si>
    <t>LY_healthy_y11_ag2</t>
  </si>
  <si>
    <t>LY_healthy_y11_ag3</t>
  </si>
  <si>
    <t>LY_healthy_y11_ag4</t>
  </si>
  <si>
    <t>LY_healthy_y11_ag5</t>
  </si>
  <si>
    <t>LY_healthy_y11_ag6</t>
  </si>
  <si>
    <t>LY_healthy_y11_ag7</t>
  </si>
  <si>
    <t>LY_healthy_y11_ag8</t>
  </si>
  <si>
    <t>LY_healthy_y11_ag9</t>
  </si>
  <si>
    <t>LY_healthy_y11_ag10</t>
  </si>
  <si>
    <t>LY_healthy_y11_ag11</t>
  </si>
  <si>
    <t>LY_healthy_y11_ag12</t>
  </si>
  <si>
    <t>LY_healthy_y11_ag13</t>
  </si>
  <si>
    <t>LY_healthy_y11_ag14</t>
  </si>
  <si>
    <t>LY_healthy_y11_ag15</t>
  </si>
  <si>
    <t>LY_healthy_y11_ag16</t>
  </si>
  <si>
    <t>LY_healthy_y12_ag1</t>
  </si>
  <si>
    <t>LY_healthy_y12_ag2</t>
  </si>
  <si>
    <t>LY_healthy_y12_ag3</t>
  </si>
  <si>
    <t>LY_healthy_y12_ag4</t>
  </si>
  <si>
    <t>LY_healthy_y12_ag5</t>
  </si>
  <si>
    <t>LY_healthy_y12_ag6</t>
  </si>
  <si>
    <t>LY_healthy_y12_ag7</t>
  </si>
  <si>
    <t>LY_healthy_y12_ag8</t>
  </si>
  <si>
    <t>LY_healthy_y12_ag9</t>
  </si>
  <si>
    <t>LY_healthy_y12_ag10</t>
  </si>
  <si>
    <t>LY_healthy_y12_ag11</t>
  </si>
  <si>
    <t>LY_healthy_y12_ag12</t>
  </si>
  <si>
    <t>LY_healthy_y12_ag13</t>
  </si>
  <si>
    <t>LY_healthy_y12_ag14</t>
  </si>
  <si>
    <t>LY_healthy_y12_ag15</t>
  </si>
  <si>
    <t>LY_healthy_y12_ag16</t>
  </si>
  <si>
    <t>LY_healthy_y13_ag1</t>
  </si>
  <si>
    <t>LY_healthy_y13_ag2</t>
  </si>
  <si>
    <t>LY_healthy_y13_ag3</t>
  </si>
  <si>
    <t>LY_healthy_y13_ag4</t>
  </si>
  <si>
    <t>LY_healthy_y13_ag5</t>
  </si>
  <si>
    <t>LY_healthy_y13_ag6</t>
  </si>
  <si>
    <t>LY_healthy_y13_ag7</t>
  </si>
  <si>
    <t>LY_healthy_y13_ag8</t>
  </si>
  <si>
    <t>LY_healthy_y13_ag9</t>
  </si>
  <si>
    <t>LY_healthy_y13_ag10</t>
  </si>
  <si>
    <t>LY_healthy_y13_ag11</t>
  </si>
  <si>
    <t>LY_healthy_y13_ag12</t>
  </si>
  <si>
    <t>LY_healthy_y13_ag13</t>
  </si>
  <si>
    <t>LY_healthy_y13_ag14</t>
  </si>
  <si>
    <t>LY_healthy_y13_ag15</t>
  </si>
  <si>
    <t>LY_healthy_y13_ag16</t>
  </si>
  <si>
    <t>LY_healthy_y14_ag1</t>
  </si>
  <si>
    <t>LY_healthy_y14_ag2</t>
  </si>
  <si>
    <t>LY_healthy_y14_ag3</t>
  </si>
  <si>
    <t>LY_healthy_y14_ag4</t>
  </si>
  <si>
    <t>LY_healthy_y14_ag5</t>
  </si>
  <si>
    <t>LY_healthy_y14_ag6</t>
  </si>
  <si>
    <t>LY_healthy_y14_ag7</t>
  </si>
  <si>
    <t>LY_healthy_y14_ag8</t>
  </si>
  <si>
    <t>LY_healthy_y14_ag9</t>
  </si>
  <si>
    <t>LY_healthy_y14_ag10</t>
  </si>
  <si>
    <t>LY_healthy_y14_ag11</t>
  </si>
  <si>
    <t>LY_healthy_y14_ag12</t>
  </si>
  <si>
    <t>LY_healthy_y14_ag13</t>
  </si>
  <si>
    <t>LY_healthy_y14_ag14</t>
  </si>
  <si>
    <t>LY_healthy_y14_ag15</t>
  </si>
  <si>
    <t>LY_healthy_y14_ag16</t>
  </si>
  <si>
    <t>LY_healthy_y15_ag1</t>
  </si>
  <si>
    <t>LY_healthy_y15_ag2</t>
  </si>
  <si>
    <t>LY_healthy_y15_ag3</t>
  </si>
  <si>
    <t>LY_healthy_y15_ag4</t>
  </si>
  <si>
    <t>LY_healthy_y15_ag5</t>
  </si>
  <si>
    <t>LY_healthy_y15_ag6</t>
  </si>
  <si>
    <t>LY_healthy_y15_ag7</t>
  </si>
  <si>
    <t>LY_healthy_y15_ag8</t>
  </si>
  <si>
    <t>LY_healthy_y15_ag9</t>
  </si>
  <si>
    <t>LY_healthy_y15_ag10</t>
  </si>
  <si>
    <t>LY_healthy_y15_ag11</t>
  </si>
  <si>
    <t>LY_healthy_y15_ag12</t>
  </si>
  <si>
    <t>LY_healthy_y15_ag13</t>
  </si>
  <si>
    <t>LY_healthy_y15_ag14</t>
  </si>
  <si>
    <t>LY_healthy_y15_ag15</t>
  </si>
  <si>
    <t>LY_healthy_y15_ag16</t>
  </si>
  <si>
    <t>LY_healthy_y16_ag1</t>
  </si>
  <si>
    <t>LY_healthy_y16_ag2</t>
  </si>
  <si>
    <t>LY_healthy_y16_ag3</t>
  </si>
  <si>
    <t>LY_healthy_y16_ag4</t>
  </si>
  <si>
    <t>LY_healthy_y16_ag5</t>
  </si>
  <si>
    <t>LY_healthy_y16_ag6</t>
  </si>
  <si>
    <t>LY_healthy_y16_ag7</t>
  </si>
  <si>
    <t>LY_healthy_y16_ag8</t>
  </si>
  <si>
    <t>LY_healthy_y16_ag9</t>
  </si>
  <si>
    <t>LY_healthy_y16_ag10</t>
  </si>
  <si>
    <t>LY_healthy_y16_ag11</t>
  </si>
  <si>
    <t>LY_healthy_y16_ag12</t>
  </si>
  <si>
    <t>LY_healthy_y16_ag13</t>
  </si>
  <si>
    <t>LY_healthy_y16_ag14</t>
  </si>
  <si>
    <t>LY_healthy_y16_ag15</t>
  </si>
  <si>
    <t>LY_healthy_y16_ag16</t>
  </si>
  <si>
    <t>LY_healthy_y17_ag1</t>
  </si>
  <si>
    <t>LY_healthy_y17_ag2</t>
  </si>
  <si>
    <t>LY_healthy_y17_ag3</t>
  </si>
  <si>
    <t>LY_healthy_y17_ag4</t>
  </si>
  <si>
    <t>LY_healthy_y17_ag5</t>
  </si>
  <si>
    <t>LY_healthy_y17_ag6</t>
  </si>
  <si>
    <t>LY_healthy_y17_ag7</t>
  </si>
  <si>
    <t>LY_healthy_y17_ag8</t>
  </si>
  <si>
    <t>LY_healthy_y17_ag9</t>
  </si>
  <si>
    <t>LY_healthy_y17_ag10</t>
  </si>
  <si>
    <t>LY_healthy_y17_ag11</t>
  </si>
  <si>
    <t>LY_healthy_y17_ag12</t>
  </si>
  <si>
    <t>LY_healthy_y17_ag13</t>
  </si>
  <si>
    <t>LY_healthy_y17_ag14</t>
  </si>
  <si>
    <t>LY_healthy_y17_ag15</t>
  </si>
  <si>
    <t>LY_healthy_y17_ag16</t>
  </si>
  <si>
    <t>LY_healthy_y18_ag1</t>
  </si>
  <si>
    <t>LY_healthy_y18_ag2</t>
  </si>
  <si>
    <t>LY_healthy_y18_ag3</t>
  </si>
  <si>
    <t>LY_healthy_y18_ag4</t>
  </si>
  <si>
    <t>LY_healthy_y18_ag5</t>
  </si>
  <si>
    <t>LY_healthy_y18_ag6</t>
  </si>
  <si>
    <t>LY_healthy_y18_ag7</t>
  </si>
  <si>
    <t>LY_healthy_y18_ag8</t>
  </si>
  <si>
    <t>LY_healthy_y18_ag9</t>
  </si>
  <si>
    <t>LY_healthy_y18_ag10</t>
  </si>
  <si>
    <t>LY_healthy_y18_ag11</t>
  </si>
  <si>
    <t>LY_healthy_y18_ag12</t>
  </si>
  <si>
    <t>LY_healthy_y18_ag13</t>
  </si>
  <si>
    <t>LY_healthy_y18_ag14</t>
  </si>
  <si>
    <t>LY_healthy_y18_ag15</t>
  </si>
  <si>
    <t>LY_healthy_y18_ag16</t>
  </si>
  <si>
    <t>LY_healthy_y19_ag1</t>
  </si>
  <si>
    <t>LY_healthy_y19_ag2</t>
  </si>
  <si>
    <t>LY_healthy_y19_ag3</t>
  </si>
  <si>
    <t>LY_healthy_y19_ag4</t>
  </si>
  <si>
    <t>LY_healthy_y19_ag5</t>
  </si>
  <si>
    <t>LY_healthy_y19_ag6</t>
  </si>
  <si>
    <t>LY_healthy_y19_ag7</t>
  </si>
  <si>
    <t>LY_healthy_y19_ag8</t>
  </si>
  <si>
    <t>LY_healthy_y19_ag9</t>
  </si>
  <si>
    <t>LY_healthy_y19_ag10</t>
  </si>
  <si>
    <t>LY_healthy_y19_ag11</t>
  </si>
  <si>
    <t>LY_healthy_y19_ag12</t>
  </si>
  <si>
    <t>LY_healthy_y19_ag13</t>
  </si>
  <si>
    <t>LY_healthy_y19_ag14</t>
  </si>
  <si>
    <t>LY_healthy_y19_ag15</t>
  </si>
  <si>
    <t>LY_healthy_y19_ag16</t>
  </si>
  <si>
    <t>LY_healthy_y20_ag1</t>
  </si>
  <si>
    <t>LY_healthy_y20_ag2</t>
  </si>
  <si>
    <t>LY_healthy_y20_ag3</t>
  </si>
  <si>
    <t>LY_healthy_y20_ag4</t>
  </si>
  <si>
    <t>LY_healthy_y20_ag5</t>
  </si>
  <si>
    <t>LY_healthy_y20_ag6</t>
  </si>
  <si>
    <t>LY_healthy_y20_ag7</t>
  </si>
  <si>
    <t>LY_healthy_y20_ag8</t>
  </si>
  <si>
    <t>LY_healthy_y20_ag9</t>
  </si>
  <si>
    <t>LY_healthy_y20_ag10</t>
  </si>
  <si>
    <t>LY_healthy_y20_ag11</t>
  </si>
  <si>
    <t>LY_healthy_y20_ag12</t>
  </si>
  <si>
    <t>LY_healthy_y20_ag13</t>
  </si>
  <si>
    <t>LY_healthy_y20_ag14</t>
  </si>
  <si>
    <t>LY_healthy_y20_ag15</t>
  </si>
  <si>
    <t>LY_healthy_y20_ag16</t>
  </si>
  <si>
    <t>LY_healthy_y21_ag1</t>
  </si>
  <si>
    <t>LY_healthy_y21_ag2</t>
  </si>
  <si>
    <t>LY_healthy_y21_ag3</t>
  </si>
  <si>
    <t>LY_healthy_y21_ag4</t>
  </si>
  <si>
    <t>LY_healthy_y21_ag5</t>
  </si>
  <si>
    <t>LY_healthy_y21_ag6</t>
  </si>
  <si>
    <t>LY_healthy_y21_ag7</t>
  </si>
  <si>
    <t>LY_healthy_y21_ag8</t>
  </si>
  <si>
    <t>LY_healthy_y21_ag9</t>
  </si>
  <si>
    <t>LY_healthy_y21_ag10</t>
  </si>
  <si>
    <t>LY_healthy_y21_ag11</t>
  </si>
  <si>
    <t>LY_healthy_y21_ag12</t>
  </si>
  <si>
    <t>LY_healthy_y21_ag13</t>
  </si>
  <si>
    <t>LY_healthy_y21_ag14</t>
  </si>
  <si>
    <t>LY_healthy_y21_ag15</t>
  </si>
  <si>
    <t>LY_healthy_y21_ag16</t>
  </si>
  <si>
    <t>LY_healthy_y22_ag1</t>
  </si>
  <si>
    <t>LY_healthy_y22_ag2</t>
  </si>
  <si>
    <t>LY_healthy_y22_ag3</t>
  </si>
  <si>
    <t>LY_healthy_y22_ag4</t>
  </si>
  <si>
    <t>LY_healthy_y22_ag5</t>
  </si>
  <si>
    <t>LY_healthy_y22_ag6</t>
  </si>
  <si>
    <t>LY_healthy_y22_ag7</t>
  </si>
  <si>
    <t>LY_healthy_y22_ag8</t>
  </si>
  <si>
    <t>LY_healthy_y22_ag9</t>
  </si>
  <si>
    <t>LY_healthy_y22_ag10</t>
  </si>
  <si>
    <t>LY_healthy_y22_ag11</t>
  </si>
  <si>
    <t>LY_healthy_y22_ag12</t>
  </si>
  <si>
    <t>LY_healthy_y22_ag13</t>
  </si>
  <si>
    <t>LY_healthy_y22_ag14</t>
  </si>
  <si>
    <t>LY_healthy_y22_ag15</t>
  </si>
  <si>
    <t>LY_healthy_y22_ag16</t>
  </si>
  <si>
    <t>LY_healthy_y23_ag1</t>
  </si>
  <si>
    <t>LY_healthy_y23_ag2</t>
  </si>
  <si>
    <t>LY_healthy_y23_ag3</t>
  </si>
  <si>
    <t>LY_healthy_y23_ag4</t>
  </si>
  <si>
    <t>LY_healthy_y23_ag5</t>
  </si>
  <si>
    <t>LY_healthy_y23_ag6</t>
  </si>
  <si>
    <t>LY_healthy_y23_ag7</t>
  </si>
  <si>
    <t>LY_healthy_y23_ag8</t>
  </si>
  <si>
    <t>LY_healthy_y23_ag9</t>
  </si>
  <si>
    <t>LY_healthy_y23_ag10</t>
  </si>
  <si>
    <t>LY_healthy_y23_ag11</t>
  </si>
  <si>
    <t>LY_healthy_y23_ag12</t>
  </si>
  <si>
    <t>LY_healthy_y23_ag13</t>
  </si>
  <si>
    <t>LY_healthy_y23_ag14</t>
  </si>
  <si>
    <t>LY_healthy_y23_ag15</t>
  </si>
  <si>
    <t>LY_healthy_y23_ag16</t>
  </si>
  <si>
    <t>LY_healthy_y24_ag1</t>
  </si>
  <si>
    <t>LY_healthy_y24_ag2</t>
  </si>
  <si>
    <t>LY_healthy_y24_ag3</t>
  </si>
  <si>
    <t>LY_healthy_y24_ag4</t>
  </si>
  <si>
    <t>LY_healthy_y24_ag5</t>
  </si>
  <si>
    <t>LY_healthy_y24_ag6</t>
  </si>
  <si>
    <t>LY_healthy_y24_ag7</t>
  </si>
  <si>
    <t>LY_healthy_y24_ag8</t>
  </si>
  <si>
    <t>LY_healthy_y24_ag9</t>
  </si>
  <si>
    <t>LY_healthy_y24_ag10</t>
  </si>
  <si>
    <t>LY_healthy_y24_ag11</t>
  </si>
  <si>
    <t>LY_healthy_y24_ag12</t>
  </si>
  <si>
    <t>LY_healthy_y24_ag13</t>
  </si>
  <si>
    <t>LY_healthy_y24_ag14</t>
  </si>
  <si>
    <t>LY_healthy_y24_ag15</t>
  </si>
  <si>
    <t>LY_healthy_y24_ag16</t>
  </si>
  <si>
    <t>LY_healthy_y25_ag1</t>
  </si>
  <si>
    <t>LY_healthy_y25_ag2</t>
  </si>
  <si>
    <t>LY_healthy_y25_ag3</t>
  </si>
  <si>
    <t>LY_healthy_y25_ag4</t>
  </si>
  <si>
    <t>LY_healthy_y25_ag5</t>
  </si>
  <si>
    <t>LY_healthy_y25_ag6</t>
  </si>
  <si>
    <t>LY_healthy_y25_ag7</t>
  </si>
  <si>
    <t>LY_healthy_y25_ag8</t>
  </si>
  <si>
    <t>LY_healthy_y25_ag9</t>
  </si>
  <si>
    <t>LY_healthy_y25_ag10</t>
  </si>
  <si>
    <t>LY_healthy_y25_ag11</t>
  </si>
  <si>
    <t>LY_healthy_y25_ag12</t>
  </si>
  <si>
    <t>LY_healthy_y25_ag13</t>
  </si>
  <si>
    <t>LY_healthy_y25_ag14</t>
  </si>
  <si>
    <t>LY_healthy_y25_ag15</t>
  </si>
  <si>
    <t>LY_healthy_y25_ag16</t>
  </si>
  <si>
    <t>LY_postTB_y1_ag1</t>
  </si>
  <si>
    <t>LY_postTB_y1_ag2</t>
  </si>
  <si>
    <t>LY_postTB_y1_ag3</t>
  </si>
  <si>
    <t>LY_postTB_y1_ag4</t>
  </si>
  <si>
    <t>LY_postTB_y1_ag5</t>
  </si>
  <si>
    <t>LY_postTB_y1_ag6</t>
  </si>
  <si>
    <t>LY_postTB_y1_ag7</t>
  </si>
  <si>
    <t>LY_postTB_y1_ag8</t>
  </si>
  <si>
    <t>LY_postTB_y1_ag9</t>
  </si>
  <si>
    <t>LY_postTB_y1_ag10</t>
  </si>
  <si>
    <t>LY_postTB_y1_ag11</t>
  </si>
  <si>
    <t>LY_postTB_y1_ag12</t>
  </si>
  <si>
    <t>LY_postTB_y1_ag13</t>
  </si>
  <si>
    <t>LY_postTB_y1_ag14</t>
  </si>
  <si>
    <t>LY_postTB_y1_ag15</t>
  </si>
  <si>
    <t>LY_postTB_y1_ag16</t>
  </si>
  <si>
    <t>LY_postTB_y2_ag1</t>
  </si>
  <si>
    <t>LY_postTB_y2_ag2</t>
  </si>
  <si>
    <t>LY_postTB_y2_ag3</t>
  </si>
  <si>
    <t>LY_postTB_y2_ag4</t>
  </si>
  <si>
    <t>LY_postTB_y2_ag5</t>
  </si>
  <si>
    <t>LY_postTB_y2_ag6</t>
  </si>
  <si>
    <t>LY_postTB_y2_ag7</t>
  </si>
  <si>
    <t>LY_postTB_y2_ag8</t>
  </si>
  <si>
    <t>LY_postTB_y2_ag9</t>
  </si>
  <si>
    <t>LY_postTB_y2_ag10</t>
  </si>
  <si>
    <t>LY_postTB_y2_ag11</t>
  </si>
  <si>
    <t>LY_postTB_y2_ag12</t>
  </si>
  <si>
    <t>LY_postTB_y2_ag13</t>
  </si>
  <si>
    <t>LY_postTB_y2_ag14</t>
  </si>
  <si>
    <t>LY_postTB_y2_ag15</t>
  </si>
  <si>
    <t>LY_postTB_y2_ag16</t>
  </si>
  <si>
    <t>LY_postTB_y3_ag1</t>
  </si>
  <si>
    <t>LY_postTB_y3_ag2</t>
  </si>
  <si>
    <t>LY_postTB_y3_ag3</t>
  </si>
  <si>
    <t>LY_postTB_y3_ag4</t>
  </si>
  <si>
    <t>LY_postTB_y3_ag5</t>
  </si>
  <si>
    <t>LY_postTB_y3_ag6</t>
  </si>
  <si>
    <t>LY_postTB_y3_ag7</t>
  </si>
  <si>
    <t>LY_postTB_y3_ag8</t>
  </si>
  <si>
    <t>LY_postTB_y3_ag9</t>
  </si>
  <si>
    <t>LY_postTB_y3_ag10</t>
  </si>
  <si>
    <t>LY_postTB_y3_ag11</t>
  </si>
  <si>
    <t>LY_postTB_y3_ag12</t>
  </si>
  <si>
    <t>LY_postTB_y3_ag13</t>
  </si>
  <si>
    <t>LY_postTB_y3_ag14</t>
  </si>
  <si>
    <t>LY_postTB_y3_ag15</t>
  </si>
  <si>
    <t>LY_postTB_y3_ag16</t>
  </si>
  <si>
    <t>LY_postTB_y4_ag1</t>
  </si>
  <si>
    <t>LY_postTB_y4_ag2</t>
  </si>
  <si>
    <t>LY_postTB_y4_ag3</t>
  </si>
  <si>
    <t>LY_postTB_y4_ag4</t>
  </si>
  <si>
    <t>LY_postTB_y4_ag5</t>
  </si>
  <si>
    <t>LY_postTB_y4_ag6</t>
  </si>
  <si>
    <t>LY_postTB_y4_ag7</t>
  </si>
  <si>
    <t>LY_postTB_y4_ag8</t>
  </si>
  <si>
    <t>LY_postTB_y4_ag9</t>
  </si>
  <si>
    <t>LY_postTB_y4_ag10</t>
  </si>
  <si>
    <t>LY_postTB_y4_ag11</t>
  </si>
  <si>
    <t>LY_postTB_y4_ag12</t>
  </si>
  <si>
    <t>LY_postTB_y4_ag13</t>
  </si>
  <si>
    <t>LY_postTB_y4_ag14</t>
  </si>
  <si>
    <t>LY_postTB_y4_ag15</t>
  </si>
  <si>
    <t>LY_postTB_y4_ag16</t>
  </si>
  <si>
    <t>LY_postTB_y5_ag1</t>
  </si>
  <si>
    <t>LY_postTB_y5_ag2</t>
  </si>
  <si>
    <t>LY_postTB_y5_ag3</t>
  </si>
  <si>
    <t>LY_postTB_y5_ag4</t>
  </si>
  <si>
    <t>LY_postTB_y5_ag5</t>
  </si>
  <si>
    <t>LY_postTB_y5_ag6</t>
  </si>
  <si>
    <t>LY_postTB_y5_ag7</t>
  </si>
  <si>
    <t>LY_postTB_y5_ag8</t>
  </si>
  <si>
    <t>LY_postTB_y5_ag9</t>
  </si>
  <si>
    <t>LY_postTB_y5_ag10</t>
  </si>
  <si>
    <t>LY_postTB_y5_ag11</t>
  </si>
  <si>
    <t>LY_postTB_y5_ag12</t>
  </si>
  <si>
    <t>LY_postTB_y5_ag13</t>
  </si>
  <si>
    <t>LY_postTB_y5_ag14</t>
  </si>
  <si>
    <t>LY_postTB_y5_ag15</t>
  </si>
  <si>
    <t>LY_postTB_y5_ag16</t>
  </si>
  <si>
    <t>LY_postTB_y6_ag1</t>
  </si>
  <si>
    <t>LY_postTB_y6_ag2</t>
  </si>
  <si>
    <t>LY_postTB_y6_ag3</t>
  </si>
  <si>
    <t>LY_postTB_y6_ag4</t>
  </si>
  <si>
    <t>LY_postTB_y6_ag5</t>
  </si>
  <si>
    <t>LY_postTB_y6_ag6</t>
  </si>
  <si>
    <t>LY_postTB_y6_ag7</t>
  </si>
  <si>
    <t>LY_postTB_y6_ag8</t>
  </si>
  <si>
    <t>LY_postTB_y6_ag9</t>
  </si>
  <si>
    <t>LY_postTB_y6_ag10</t>
  </si>
  <si>
    <t>LY_postTB_y6_ag11</t>
  </si>
  <si>
    <t>LY_postTB_y6_ag12</t>
  </si>
  <si>
    <t>LY_postTB_y6_ag13</t>
  </si>
  <si>
    <t>LY_postTB_y6_ag14</t>
  </si>
  <si>
    <t>LY_postTB_y6_ag15</t>
  </si>
  <si>
    <t>LY_postTB_y6_ag16</t>
  </si>
  <si>
    <t>LY_postTB_y7_ag1</t>
  </si>
  <si>
    <t>LY_postTB_y7_ag2</t>
  </si>
  <si>
    <t>LY_postTB_y7_ag3</t>
  </si>
  <si>
    <t>LY_postTB_y7_ag4</t>
  </si>
  <si>
    <t>LY_postTB_y7_ag5</t>
  </si>
  <si>
    <t>LY_postTB_y7_ag6</t>
  </si>
  <si>
    <t>LY_postTB_y7_ag7</t>
  </si>
  <si>
    <t>LY_postTB_y7_ag8</t>
  </si>
  <si>
    <t>LY_postTB_y7_ag9</t>
  </si>
  <si>
    <t>LY_postTB_y7_ag10</t>
  </si>
  <si>
    <t>LY_postTB_y7_ag11</t>
  </si>
  <si>
    <t>LY_postTB_y7_ag12</t>
  </si>
  <si>
    <t>LY_postTB_y7_ag13</t>
  </si>
  <si>
    <t>LY_postTB_y7_ag14</t>
  </si>
  <si>
    <t>LY_postTB_y7_ag15</t>
  </si>
  <si>
    <t>LY_postTB_y7_ag16</t>
  </si>
  <si>
    <t>LY_postTB_y8_ag1</t>
  </si>
  <si>
    <t>LY_postTB_y8_ag2</t>
  </si>
  <si>
    <t>LY_postTB_y8_ag3</t>
  </si>
  <si>
    <t>LY_postTB_y8_ag4</t>
  </si>
  <si>
    <t>LY_postTB_y8_ag5</t>
  </si>
  <si>
    <t>LY_postTB_y8_ag6</t>
  </si>
  <si>
    <t>LY_postTB_y8_ag7</t>
  </si>
  <si>
    <t>LY_postTB_y8_ag8</t>
  </si>
  <si>
    <t>LY_postTB_y8_ag9</t>
  </si>
  <si>
    <t>LY_postTB_y8_ag10</t>
  </si>
  <si>
    <t>LY_postTB_y8_ag11</t>
  </si>
  <si>
    <t>LY_postTB_y8_ag12</t>
  </si>
  <si>
    <t>LY_postTB_y8_ag13</t>
  </si>
  <si>
    <t>LY_postTB_y8_ag14</t>
  </si>
  <si>
    <t>LY_postTB_y8_ag15</t>
  </si>
  <si>
    <t>LY_postTB_y8_ag16</t>
  </si>
  <si>
    <t>LY_postTB_y9_ag1</t>
  </si>
  <si>
    <t>LY_postTB_y9_ag2</t>
  </si>
  <si>
    <t>LY_postTB_y9_ag3</t>
  </si>
  <si>
    <t>LY_postTB_y9_ag4</t>
  </si>
  <si>
    <t>LY_postTB_y9_ag5</t>
  </si>
  <si>
    <t>LY_postTB_y9_ag6</t>
  </si>
  <si>
    <t>LY_postTB_y9_ag7</t>
  </si>
  <si>
    <t>LY_postTB_y9_ag8</t>
  </si>
  <si>
    <t>LY_postTB_y9_ag9</t>
  </si>
  <si>
    <t>LY_postTB_y9_ag10</t>
  </si>
  <si>
    <t>LY_postTB_y9_ag11</t>
  </si>
  <si>
    <t>LY_postTB_y9_ag12</t>
  </si>
  <si>
    <t>LY_postTB_y9_ag13</t>
  </si>
  <si>
    <t>LY_postTB_y9_ag14</t>
  </si>
  <si>
    <t>LY_postTB_y9_ag15</t>
  </si>
  <si>
    <t>LY_postTB_y9_ag16</t>
  </si>
  <si>
    <t>LY_postTB_y10_ag1</t>
  </si>
  <si>
    <t>LY_postTB_y10_ag2</t>
  </si>
  <si>
    <t>LY_postTB_y10_ag3</t>
  </si>
  <si>
    <t>LY_postTB_y10_ag4</t>
  </si>
  <si>
    <t>LY_postTB_y10_ag5</t>
  </si>
  <si>
    <t>LY_postTB_y10_ag6</t>
  </si>
  <si>
    <t>LY_postTB_y10_ag7</t>
  </si>
  <si>
    <t>LY_postTB_y10_ag8</t>
  </si>
  <si>
    <t>LY_postTB_y10_ag9</t>
  </si>
  <si>
    <t>LY_postTB_y10_ag10</t>
  </si>
  <si>
    <t>LY_postTB_y10_ag11</t>
  </si>
  <si>
    <t>LY_postTB_y10_ag12</t>
  </si>
  <si>
    <t>LY_postTB_y10_ag13</t>
  </si>
  <si>
    <t>LY_postTB_y10_ag14</t>
  </si>
  <si>
    <t>LY_postTB_y10_ag15</t>
  </si>
  <si>
    <t>LY_postTB_y10_ag16</t>
  </si>
  <si>
    <t>LY_postTB_y11_ag1</t>
  </si>
  <si>
    <t>LY_postTB_y11_ag2</t>
  </si>
  <si>
    <t>LY_postTB_y11_ag3</t>
  </si>
  <si>
    <t>LY_postTB_y11_ag4</t>
  </si>
  <si>
    <t>LY_postTB_y11_ag5</t>
  </si>
  <si>
    <t>LY_postTB_y11_ag6</t>
  </si>
  <si>
    <t>LY_postTB_y11_ag7</t>
  </si>
  <si>
    <t>LY_postTB_y11_ag8</t>
  </si>
  <si>
    <t>LY_postTB_y11_ag9</t>
  </si>
  <si>
    <t>LY_postTB_y11_ag10</t>
  </si>
  <si>
    <t>LY_postTB_y11_ag11</t>
  </si>
  <si>
    <t>LY_postTB_y11_ag12</t>
  </si>
  <si>
    <t>LY_postTB_y11_ag13</t>
  </si>
  <si>
    <t>LY_postTB_y11_ag14</t>
  </si>
  <si>
    <t>LY_postTB_y11_ag15</t>
  </si>
  <si>
    <t>LY_postTB_y11_ag16</t>
  </si>
  <si>
    <t>LY_postTB_y12_ag1</t>
  </si>
  <si>
    <t>LY_postTB_y12_ag2</t>
  </si>
  <si>
    <t>LY_postTB_y12_ag3</t>
  </si>
  <si>
    <t>LY_postTB_y12_ag4</t>
  </si>
  <si>
    <t>LY_postTB_y12_ag5</t>
  </si>
  <si>
    <t>LY_postTB_y12_ag6</t>
  </si>
  <si>
    <t>LY_postTB_y12_ag7</t>
  </si>
  <si>
    <t>LY_postTB_y12_ag8</t>
  </si>
  <si>
    <t>LY_postTB_y12_ag9</t>
  </si>
  <si>
    <t>LY_postTB_y12_ag10</t>
  </si>
  <si>
    <t>LY_postTB_y12_ag11</t>
  </si>
  <si>
    <t>LY_postTB_y12_ag12</t>
  </si>
  <si>
    <t>LY_postTB_y12_ag13</t>
  </si>
  <si>
    <t>LY_postTB_y12_ag14</t>
  </si>
  <si>
    <t>LY_postTB_y12_ag15</t>
  </si>
  <si>
    <t>LY_postTB_y12_ag16</t>
  </si>
  <si>
    <t>LY_postTB_y13_ag1</t>
  </si>
  <si>
    <t>LY_postTB_y13_ag2</t>
  </si>
  <si>
    <t>LY_postTB_y13_ag3</t>
  </si>
  <si>
    <t>LY_postTB_y13_ag4</t>
  </si>
  <si>
    <t>LY_postTB_y13_ag5</t>
  </si>
  <si>
    <t>LY_postTB_y13_ag6</t>
  </si>
  <si>
    <t>LY_postTB_y13_ag7</t>
  </si>
  <si>
    <t>LY_postTB_y13_ag8</t>
  </si>
  <si>
    <t>LY_postTB_y13_ag9</t>
  </si>
  <si>
    <t>LY_postTB_y13_ag10</t>
  </si>
  <si>
    <t>LY_postTB_y13_ag11</t>
  </si>
  <si>
    <t>LY_postTB_y13_ag12</t>
  </si>
  <si>
    <t>LY_postTB_y13_ag13</t>
  </si>
  <si>
    <t>LY_postTB_y13_ag14</t>
  </si>
  <si>
    <t>LY_postTB_y13_ag15</t>
  </si>
  <si>
    <t>LY_postTB_y13_ag16</t>
  </si>
  <si>
    <t>LY_postTB_y14_ag1</t>
  </si>
  <si>
    <t>LY_postTB_y14_ag2</t>
  </si>
  <si>
    <t>LY_postTB_y14_ag3</t>
  </si>
  <si>
    <t>LY_postTB_y14_ag4</t>
  </si>
  <si>
    <t>LY_postTB_y14_ag5</t>
  </si>
  <si>
    <t>LY_postTB_y14_ag6</t>
  </si>
  <si>
    <t>LY_postTB_y14_ag7</t>
  </si>
  <si>
    <t>LY_postTB_y14_ag8</t>
  </si>
  <si>
    <t>LY_postTB_y14_ag9</t>
  </si>
  <si>
    <t>LY_postTB_y14_ag10</t>
  </si>
  <si>
    <t>LY_postTB_y14_ag11</t>
  </si>
  <si>
    <t>LY_postTB_y14_ag12</t>
  </si>
  <si>
    <t>LY_postTB_y14_ag13</t>
  </si>
  <si>
    <t>LY_postTB_y14_ag14</t>
  </si>
  <si>
    <t>LY_postTB_y14_ag15</t>
  </si>
  <si>
    <t>LY_postTB_y14_ag16</t>
  </si>
  <si>
    <t>LY_postTB_y15_ag1</t>
  </si>
  <si>
    <t>LY_postTB_y15_ag2</t>
  </si>
  <si>
    <t>LY_postTB_y15_ag3</t>
  </si>
  <si>
    <t>LY_postTB_y15_ag4</t>
  </si>
  <si>
    <t>LY_postTB_y15_ag5</t>
  </si>
  <si>
    <t>LY_postTB_y15_ag6</t>
  </si>
  <si>
    <t>LY_postTB_y15_ag7</t>
  </si>
  <si>
    <t>LY_postTB_y15_ag8</t>
  </si>
  <si>
    <t>LY_postTB_y15_ag9</t>
  </si>
  <si>
    <t>LY_postTB_y15_ag10</t>
  </si>
  <si>
    <t>LY_postTB_y15_ag11</t>
  </si>
  <si>
    <t>LY_postTB_y15_ag12</t>
  </si>
  <si>
    <t>LY_postTB_y15_ag13</t>
  </si>
  <si>
    <t>LY_postTB_y15_ag14</t>
  </si>
  <si>
    <t>LY_postTB_y15_ag15</t>
  </si>
  <si>
    <t>LY_postTB_y15_ag16</t>
  </si>
  <si>
    <t>LY_postTB_y16_ag1</t>
  </si>
  <si>
    <t>LY_postTB_y16_ag2</t>
  </si>
  <si>
    <t>LY_postTB_y16_ag3</t>
  </si>
  <si>
    <t>LY_postTB_y16_ag4</t>
  </si>
  <si>
    <t>LY_postTB_y16_ag5</t>
  </si>
  <si>
    <t>LY_postTB_y16_ag6</t>
  </si>
  <si>
    <t>LY_postTB_y16_ag7</t>
  </si>
  <si>
    <t>LY_postTB_y16_ag8</t>
  </si>
  <si>
    <t>LY_postTB_y16_ag9</t>
  </si>
  <si>
    <t>LY_postTB_y16_ag10</t>
  </si>
  <si>
    <t>LY_postTB_y16_ag11</t>
  </si>
  <si>
    <t>LY_postTB_y16_ag12</t>
  </si>
  <si>
    <t>LY_postTB_y16_ag13</t>
  </si>
  <si>
    <t>LY_postTB_y16_ag14</t>
  </si>
  <si>
    <t>LY_postTB_y16_ag15</t>
  </si>
  <si>
    <t>LY_postTB_y16_ag16</t>
  </si>
  <si>
    <t>LY_postTB_y17_ag1</t>
  </si>
  <si>
    <t>LY_postTB_y17_ag2</t>
  </si>
  <si>
    <t>LY_postTB_y17_ag3</t>
  </si>
  <si>
    <t>LY_postTB_y17_ag4</t>
  </si>
  <si>
    <t>LY_postTB_y17_ag5</t>
  </si>
  <si>
    <t>LY_postTB_y17_ag6</t>
  </si>
  <si>
    <t>LY_postTB_y17_ag7</t>
  </si>
  <si>
    <t>LY_postTB_y17_ag8</t>
  </si>
  <si>
    <t>LY_postTB_y17_ag9</t>
  </si>
  <si>
    <t>LY_postTB_y17_ag10</t>
  </si>
  <si>
    <t>LY_postTB_y17_ag11</t>
  </si>
  <si>
    <t>LY_postTB_y17_ag12</t>
  </si>
  <si>
    <t>LY_postTB_y17_ag13</t>
  </si>
  <si>
    <t>LY_postTB_y17_ag14</t>
  </si>
  <si>
    <t>LY_postTB_y17_ag15</t>
  </si>
  <si>
    <t>LY_postTB_y17_ag16</t>
  </si>
  <si>
    <t>LY_postTB_y18_ag1</t>
  </si>
  <si>
    <t>LY_postTB_y18_ag2</t>
  </si>
  <si>
    <t>LY_postTB_y18_ag3</t>
  </si>
  <si>
    <t>LY_postTB_y18_ag4</t>
  </si>
  <si>
    <t>LY_postTB_y18_ag5</t>
  </si>
  <si>
    <t>LY_postTB_y18_ag6</t>
  </si>
  <si>
    <t>LY_postTB_y18_ag7</t>
  </si>
  <si>
    <t>LY_postTB_y18_ag8</t>
  </si>
  <si>
    <t>LY_postTB_y18_ag9</t>
  </si>
  <si>
    <t>LY_postTB_y18_ag10</t>
  </si>
  <si>
    <t>LY_postTB_y18_ag11</t>
  </si>
  <si>
    <t>LY_postTB_y18_ag12</t>
  </si>
  <si>
    <t>LY_postTB_y18_ag13</t>
  </si>
  <si>
    <t>LY_postTB_y18_ag14</t>
  </si>
  <si>
    <t>LY_postTB_y18_ag15</t>
  </si>
  <si>
    <t>LY_postTB_y18_ag16</t>
  </si>
  <si>
    <t>LY_postTB_y19_ag1</t>
  </si>
  <si>
    <t>LY_postTB_y19_ag2</t>
  </si>
  <si>
    <t>LY_postTB_y19_ag3</t>
  </si>
  <si>
    <t>LY_postTB_y19_ag4</t>
  </si>
  <si>
    <t>LY_postTB_y19_ag5</t>
  </si>
  <si>
    <t>LY_postTB_y19_ag6</t>
  </si>
  <si>
    <t>LY_postTB_y19_ag7</t>
  </si>
  <si>
    <t>LY_postTB_y19_ag8</t>
  </si>
  <si>
    <t>LY_postTB_y19_ag9</t>
  </si>
  <si>
    <t>LY_postTB_y19_ag10</t>
  </si>
  <si>
    <t>LY_postTB_y19_ag11</t>
  </si>
  <si>
    <t>LY_postTB_y19_ag12</t>
  </si>
  <si>
    <t>LY_postTB_y19_ag13</t>
  </si>
  <si>
    <t>LY_postTB_y19_ag14</t>
  </si>
  <si>
    <t>LY_postTB_y19_ag15</t>
  </si>
  <si>
    <t>LY_postTB_y19_ag16</t>
  </si>
  <si>
    <t>LY_postTB_y20_ag1</t>
  </si>
  <si>
    <t>LY_postTB_y20_ag2</t>
  </si>
  <si>
    <t>LY_postTB_y20_ag3</t>
  </si>
  <si>
    <t>LY_postTB_y20_ag4</t>
  </si>
  <si>
    <t>LY_postTB_y20_ag5</t>
  </si>
  <si>
    <t>LY_postTB_y20_ag6</t>
  </si>
  <si>
    <t>LY_postTB_y20_ag7</t>
  </si>
  <si>
    <t>LY_postTB_y20_ag8</t>
  </si>
  <si>
    <t>LY_postTB_y20_ag9</t>
  </si>
  <si>
    <t>LY_postTB_y20_ag10</t>
  </si>
  <si>
    <t>LY_postTB_y20_ag11</t>
  </si>
  <si>
    <t>LY_postTB_y20_ag12</t>
  </si>
  <si>
    <t>LY_postTB_y20_ag13</t>
  </si>
  <si>
    <t>LY_postTB_y20_ag14</t>
  </si>
  <si>
    <t>LY_postTB_y20_ag15</t>
  </si>
  <si>
    <t>LY_postTB_y20_ag16</t>
  </si>
  <si>
    <t>LY_postTB_y21_ag1</t>
  </si>
  <si>
    <t>LY_postTB_y21_ag2</t>
  </si>
  <si>
    <t>LY_postTB_y21_ag3</t>
  </si>
  <si>
    <t>LY_postTB_y21_ag4</t>
  </si>
  <si>
    <t>LY_postTB_y21_ag5</t>
  </si>
  <si>
    <t>LY_postTB_y21_ag6</t>
  </si>
  <si>
    <t>LY_postTB_y21_ag7</t>
  </si>
  <si>
    <t>LY_postTB_y21_ag8</t>
  </si>
  <si>
    <t>LY_postTB_y21_ag9</t>
  </si>
  <si>
    <t>LY_postTB_y21_ag10</t>
  </si>
  <si>
    <t>LY_postTB_y21_ag11</t>
  </si>
  <si>
    <t>LY_postTB_y21_ag12</t>
  </si>
  <si>
    <t>LY_postTB_y21_ag13</t>
  </si>
  <si>
    <t>LY_postTB_y21_ag14</t>
  </si>
  <si>
    <t>LY_postTB_y21_ag15</t>
  </si>
  <si>
    <t>LY_postTB_y21_ag16</t>
  </si>
  <si>
    <t>LY_postTB_y22_ag1</t>
  </si>
  <si>
    <t>LY_postTB_y22_ag2</t>
  </si>
  <si>
    <t>LY_postTB_y22_ag3</t>
  </si>
  <si>
    <t>LY_postTB_y22_ag4</t>
  </si>
  <si>
    <t>LY_postTB_y22_ag5</t>
  </si>
  <si>
    <t>LY_postTB_y22_ag6</t>
  </si>
  <si>
    <t>LY_postTB_y22_ag7</t>
  </si>
  <si>
    <t>LY_postTB_y22_ag8</t>
  </si>
  <si>
    <t>LY_postTB_y22_ag9</t>
  </si>
  <si>
    <t>LY_postTB_y22_ag10</t>
  </si>
  <si>
    <t>LY_postTB_y22_ag11</t>
  </si>
  <si>
    <t>LY_postTB_y22_ag12</t>
  </si>
  <si>
    <t>LY_postTB_y22_ag13</t>
  </si>
  <si>
    <t>LY_postTB_y22_ag14</t>
  </si>
  <si>
    <t>LY_postTB_y22_ag15</t>
  </si>
  <si>
    <t>LY_postTB_y22_ag16</t>
  </si>
  <si>
    <t>LY_postTB_y23_ag1</t>
  </si>
  <si>
    <t>LY_postTB_y23_ag2</t>
  </si>
  <si>
    <t>LY_postTB_y23_ag3</t>
  </si>
  <si>
    <t>LY_postTB_y23_ag4</t>
  </si>
  <si>
    <t>LY_postTB_y23_ag5</t>
  </si>
  <si>
    <t>LY_postTB_y23_ag6</t>
  </si>
  <si>
    <t>LY_postTB_y23_ag7</t>
  </si>
  <si>
    <t>LY_postTB_y23_ag8</t>
  </si>
  <si>
    <t>LY_postTB_y23_ag9</t>
  </si>
  <si>
    <t>LY_postTB_y23_ag10</t>
  </si>
  <si>
    <t>LY_postTB_y23_ag11</t>
  </si>
  <si>
    <t>LY_postTB_y23_ag12</t>
  </si>
  <si>
    <t>LY_postTB_y23_ag13</t>
  </si>
  <si>
    <t>LY_postTB_y23_ag14</t>
  </si>
  <si>
    <t>LY_postTB_y23_ag15</t>
  </si>
  <si>
    <t>LY_postTB_y23_ag16</t>
  </si>
  <si>
    <t>LY_postTB_y24_ag1</t>
  </si>
  <si>
    <t>LY_postTB_y24_ag2</t>
  </si>
  <si>
    <t>LY_postTB_y24_ag3</t>
  </si>
  <si>
    <t>LY_postTB_y24_ag4</t>
  </si>
  <si>
    <t>LY_postTB_y24_ag5</t>
  </si>
  <si>
    <t>LY_postTB_y24_ag6</t>
  </si>
  <si>
    <t>LY_postTB_y24_ag7</t>
  </si>
  <si>
    <t>LY_postTB_y24_ag8</t>
  </si>
  <si>
    <t>LY_postTB_y24_ag9</t>
  </si>
  <si>
    <t>LY_postTB_y24_ag10</t>
  </si>
  <si>
    <t>LY_postTB_y24_ag11</t>
  </si>
  <si>
    <t>LY_postTB_y24_ag12</t>
  </si>
  <si>
    <t>LY_postTB_y24_ag13</t>
  </si>
  <si>
    <t>LY_postTB_y24_ag14</t>
  </si>
  <si>
    <t>LY_postTB_y24_ag15</t>
  </si>
  <si>
    <t>LY_postTB_y24_ag16</t>
  </si>
  <si>
    <t>LY_postTB_y25_ag1</t>
  </si>
  <si>
    <t>LY_postTB_y25_ag2</t>
  </si>
  <si>
    <t>LY_postTB_y25_ag3</t>
  </si>
  <si>
    <t>LY_postTB_y25_ag4</t>
  </si>
  <si>
    <t>LY_postTB_y25_ag5</t>
  </si>
  <si>
    <t>LY_postTB_y25_ag6</t>
  </si>
  <si>
    <t>LY_postTB_y25_ag7</t>
  </si>
  <si>
    <t>LY_postTB_y25_ag8</t>
  </si>
  <si>
    <t>LY_postTB_y25_ag9</t>
  </si>
  <si>
    <t>LY_postTB_y25_ag10</t>
  </si>
  <si>
    <t>LY_postTB_y25_ag11</t>
  </si>
  <si>
    <t>LY_postTB_y25_ag12</t>
  </si>
  <si>
    <t>LY_postTB_y25_ag13</t>
  </si>
  <si>
    <t>LY_postTB_y25_ag14</t>
  </si>
  <si>
    <t>LY_postTB_y25_ag15</t>
  </si>
  <si>
    <t>LY_postTB_y25_ag16</t>
  </si>
  <si>
    <t>LY_lost_postTB_y1_ag1</t>
  </si>
  <si>
    <t>LY_lost_postTB_y1_ag2</t>
  </si>
  <si>
    <t>LY_lost_postTB_y1_ag3</t>
  </si>
  <si>
    <t>LY_lost_postTB_y1_ag4</t>
  </si>
  <si>
    <t>LY_lost_postTB_y1_ag5</t>
  </si>
  <si>
    <t>LY_lost_postTB_y1_ag6</t>
  </si>
  <si>
    <t>LY_lost_postTB_y1_ag7</t>
  </si>
  <si>
    <t>LY_lost_postTB_y1_ag8</t>
  </si>
  <si>
    <t>LY_lost_postTB_y1_ag9</t>
  </si>
  <si>
    <t>LY_lost_postTB_y1_ag10</t>
  </si>
  <si>
    <t>LY_lost_postTB_y1_ag11</t>
  </si>
  <si>
    <t>LY_lost_postTB_y1_ag12</t>
  </si>
  <si>
    <t>LY_lost_postTB_y1_ag13</t>
  </si>
  <si>
    <t>LY_lost_postTB_y1_ag14</t>
  </si>
  <si>
    <t>LY_lost_postTB_y1_ag15</t>
  </si>
  <si>
    <t>LY_lost_postTB_y1_ag16</t>
  </si>
  <si>
    <t>LY_lost_postTB_y2_ag1</t>
  </si>
  <si>
    <t>LY_lost_postTB_y2_ag2</t>
  </si>
  <si>
    <t>LY_lost_postTB_y2_ag3</t>
  </si>
  <si>
    <t>LY_lost_postTB_y2_ag4</t>
  </si>
  <si>
    <t>LY_lost_postTB_y2_ag5</t>
  </si>
  <si>
    <t>LY_lost_postTB_y2_ag6</t>
  </si>
  <si>
    <t>LY_lost_postTB_y2_ag7</t>
  </si>
  <si>
    <t>LY_lost_postTB_y2_ag8</t>
  </si>
  <si>
    <t>LY_lost_postTB_y2_ag9</t>
  </si>
  <si>
    <t>LY_lost_postTB_y2_ag10</t>
  </si>
  <si>
    <t>LY_lost_postTB_y2_ag11</t>
  </si>
  <si>
    <t>LY_lost_postTB_y2_ag12</t>
  </si>
  <si>
    <t>LY_lost_postTB_y2_ag13</t>
  </si>
  <si>
    <t>LY_lost_postTB_y2_ag14</t>
  </si>
  <si>
    <t>LY_lost_postTB_y2_ag15</t>
  </si>
  <si>
    <t>LY_lost_postTB_y2_ag16</t>
  </si>
  <si>
    <t>LY_lost_postTB_y3_ag1</t>
  </si>
  <si>
    <t>LY_lost_postTB_y3_ag2</t>
  </si>
  <si>
    <t>LY_lost_postTB_y3_ag3</t>
  </si>
  <si>
    <t>LY_lost_postTB_y3_ag4</t>
  </si>
  <si>
    <t>LY_lost_postTB_y3_ag5</t>
  </si>
  <si>
    <t>LY_lost_postTB_y3_ag6</t>
  </si>
  <si>
    <t>LY_lost_postTB_y3_ag7</t>
  </si>
  <si>
    <t>LY_lost_postTB_y3_ag8</t>
  </si>
  <si>
    <t>LY_lost_postTB_y3_ag9</t>
  </si>
  <si>
    <t>LY_lost_postTB_y3_ag10</t>
  </si>
  <si>
    <t>LY_lost_postTB_y3_ag11</t>
  </si>
  <si>
    <t>LY_lost_postTB_y3_ag12</t>
  </si>
  <si>
    <t>LY_lost_postTB_y3_ag13</t>
  </si>
  <si>
    <t>LY_lost_postTB_y3_ag14</t>
  </si>
  <si>
    <t>LY_lost_postTB_y3_ag15</t>
  </si>
  <si>
    <t>LY_lost_postTB_y3_ag16</t>
  </si>
  <si>
    <t>LY_lost_postTB_y4_ag1</t>
  </si>
  <si>
    <t>LY_lost_postTB_y4_ag2</t>
  </si>
  <si>
    <t>LY_lost_postTB_y4_ag3</t>
  </si>
  <si>
    <t>LY_lost_postTB_y4_ag4</t>
  </si>
  <si>
    <t>LY_lost_postTB_y4_ag5</t>
  </si>
  <si>
    <t>LY_lost_postTB_y4_ag6</t>
  </si>
  <si>
    <t>LY_lost_postTB_y4_ag7</t>
  </si>
  <si>
    <t>LY_lost_postTB_y4_ag8</t>
  </si>
  <si>
    <t>LY_lost_postTB_y4_ag9</t>
  </si>
  <si>
    <t>LY_lost_postTB_y4_ag10</t>
  </si>
  <si>
    <t>LY_lost_postTB_y4_ag11</t>
  </si>
  <si>
    <t>LY_lost_postTB_y4_ag12</t>
  </si>
  <si>
    <t>LY_lost_postTB_y4_ag13</t>
  </si>
  <si>
    <t>LY_lost_postTB_y4_ag14</t>
  </si>
  <si>
    <t>LY_lost_postTB_y4_ag15</t>
  </si>
  <si>
    <t>LY_lost_postTB_y4_ag16</t>
  </si>
  <si>
    <t>LY_lost_postTB_y5_ag1</t>
  </si>
  <si>
    <t>LY_lost_postTB_y5_ag2</t>
  </si>
  <si>
    <t>LY_lost_postTB_y5_ag3</t>
  </si>
  <si>
    <t>LY_lost_postTB_y5_ag4</t>
  </si>
  <si>
    <t>LY_lost_postTB_y5_ag5</t>
  </si>
  <si>
    <t>LY_lost_postTB_y5_ag6</t>
  </si>
  <si>
    <t>LY_lost_postTB_y5_ag7</t>
  </si>
  <si>
    <t>LY_lost_postTB_y5_ag8</t>
  </si>
  <si>
    <t>LY_lost_postTB_y5_ag9</t>
  </si>
  <si>
    <t>LY_lost_postTB_y5_ag10</t>
  </si>
  <si>
    <t>LY_lost_postTB_y5_ag11</t>
  </si>
  <si>
    <t>LY_lost_postTB_y5_ag12</t>
  </si>
  <si>
    <t>LY_lost_postTB_y5_ag13</t>
  </si>
  <si>
    <t>LY_lost_postTB_y5_ag14</t>
  </si>
  <si>
    <t>LY_lost_postTB_y5_ag15</t>
  </si>
  <si>
    <t>LY_lost_postTB_y5_ag16</t>
  </si>
  <si>
    <t>LY_lost_postTB_y6_ag1</t>
  </si>
  <si>
    <t>LY_lost_postTB_y6_ag2</t>
  </si>
  <si>
    <t>LY_lost_postTB_y6_ag3</t>
  </si>
  <si>
    <t>LY_lost_postTB_y6_ag4</t>
  </si>
  <si>
    <t>LY_lost_postTB_y6_ag5</t>
  </si>
  <si>
    <t>LY_lost_postTB_y6_ag6</t>
  </si>
  <si>
    <t>LY_lost_postTB_y6_ag7</t>
  </si>
  <si>
    <t>LY_lost_postTB_y6_ag8</t>
  </si>
  <si>
    <t>LY_lost_postTB_y6_ag9</t>
  </si>
  <si>
    <t>LY_lost_postTB_y6_ag10</t>
  </si>
  <si>
    <t>LY_lost_postTB_y6_ag11</t>
  </si>
  <si>
    <t>LY_lost_postTB_y6_ag12</t>
  </si>
  <si>
    <t>LY_lost_postTB_y6_ag13</t>
  </si>
  <si>
    <t>LY_lost_postTB_y6_ag14</t>
  </si>
  <si>
    <t>LY_lost_postTB_y6_ag15</t>
  </si>
  <si>
    <t>LY_lost_postTB_y6_ag16</t>
  </si>
  <si>
    <t>LY_lost_postTB_y7_ag1</t>
  </si>
  <si>
    <t>LY_lost_postTB_y7_ag2</t>
  </si>
  <si>
    <t>LY_lost_postTB_y7_ag3</t>
  </si>
  <si>
    <t>LY_lost_postTB_y7_ag4</t>
  </si>
  <si>
    <t>LY_lost_postTB_y7_ag5</t>
  </si>
  <si>
    <t>LY_lost_postTB_y7_ag6</t>
  </si>
  <si>
    <t>LY_lost_postTB_y7_ag7</t>
  </si>
  <si>
    <t>LY_lost_postTB_y7_ag8</t>
  </si>
  <si>
    <t>LY_lost_postTB_y7_ag9</t>
  </si>
  <si>
    <t>LY_lost_postTB_y7_ag10</t>
  </si>
  <si>
    <t>LY_lost_postTB_y7_ag11</t>
  </si>
  <si>
    <t>LY_lost_postTB_y7_ag12</t>
  </si>
  <si>
    <t>LY_lost_postTB_y7_ag13</t>
  </si>
  <si>
    <t>LY_lost_postTB_y7_ag14</t>
  </si>
  <si>
    <t>LY_lost_postTB_y7_ag15</t>
  </si>
  <si>
    <t>LY_lost_postTB_y7_ag16</t>
  </si>
  <si>
    <t>LY_lost_postTB_y8_ag1</t>
  </si>
  <si>
    <t>LY_lost_postTB_y8_ag2</t>
  </si>
  <si>
    <t>LY_lost_postTB_y8_ag3</t>
  </si>
  <si>
    <t>LY_lost_postTB_y8_ag4</t>
  </si>
  <si>
    <t>LY_lost_postTB_y8_ag5</t>
  </si>
  <si>
    <t>LY_lost_postTB_y8_ag6</t>
  </si>
  <si>
    <t>LY_lost_postTB_y8_ag7</t>
  </si>
  <si>
    <t>LY_lost_postTB_y8_ag8</t>
  </si>
  <si>
    <t>LY_lost_postTB_y8_ag9</t>
  </si>
  <si>
    <t>LY_lost_postTB_y8_ag10</t>
  </si>
  <si>
    <t>LY_lost_postTB_y8_ag11</t>
  </si>
  <si>
    <t>LY_lost_postTB_y8_ag12</t>
  </si>
  <si>
    <t>LY_lost_postTB_y8_ag13</t>
  </si>
  <si>
    <t>LY_lost_postTB_y8_ag14</t>
  </si>
  <si>
    <t>LY_lost_postTB_y8_ag15</t>
  </si>
  <si>
    <t>LY_lost_postTB_y8_ag16</t>
  </si>
  <si>
    <t>LY_lost_postTB_y9_ag1</t>
  </si>
  <si>
    <t>LY_lost_postTB_y9_ag2</t>
  </si>
  <si>
    <t>LY_lost_postTB_y9_ag3</t>
  </si>
  <si>
    <t>LY_lost_postTB_y9_ag4</t>
  </si>
  <si>
    <t>LY_lost_postTB_y9_ag5</t>
  </si>
  <si>
    <t>LY_lost_postTB_y9_ag6</t>
  </si>
  <si>
    <t>LY_lost_postTB_y9_ag7</t>
  </si>
  <si>
    <t>LY_lost_postTB_y9_ag8</t>
  </si>
  <si>
    <t>LY_lost_postTB_y9_ag9</t>
  </si>
  <si>
    <t>LY_lost_postTB_y9_ag10</t>
  </si>
  <si>
    <t>LY_lost_postTB_y9_ag11</t>
  </si>
  <si>
    <t>LY_lost_postTB_y9_ag12</t>
  </si>
  <si>
    <t>LY_lost_postTB_y9_ag13</t>
  </si>
  <si>
    <t>LY_lost_postTB_y9_ag14</t>
  </si>
  <si>
    <t>LY_lost_postTB_y9_ag15</t>
  </si>
  <si>
    <t>LY_lost_postTB_y9_ag16</t>
  </si>
  <si>
    <t>LY_lost_postTB_y10_ag1</t>
  </si>
  <si>
    <t>LY_lost_postTB_y10_ag2</t>
  </si>
  <si>
    <t>LY_lost_postTB_y10_ag3</t>
  </si>
  <si>
    <t>LY_lost_postTB_y10_ag4</t>
  </si>
  <si>
    <t>LY_lost_postTB_y10_ag5</t>
  </si>
  <si>
    <t>LY_lost_postTB_y10_ag6</t>
  </si>
  <si>
    <t>LY_lost_postTB_y10_ag7</t>
  </si>
  <si>
    <t>LY_lost_postTB_y10_ag8</t>
  </si>
  <si>
    <t>LY_lost_postTB_y10_ag9</t>
  </si>
  <si>
    <t>LY_lost_postTB_y10_ag10</t>
  </si>
  <si>
    <t>LY_lost_postTB_y10_ag11</t>
  </si>
  <si>
    <t>LY_lost_postTB_y10_ag12</t>
  </si>
  <si>
    <t>LY_lost_postTB_y10_ag13</t>
  </si>
  <si>
    <t>LY_lost_postTB_y10_ag14</t>
  </si>
  <si>
    <t>LY_lost_postTB_y10_ag15</t>
  </si>
  <si>
    <t>LY_lost_postTB_y10_ag16</t>
  </si>
  <si>
    <t>LY_lost_postTB_y11_ag1</t>
  </si>
  <si>
    <t>LY_lost_postTB_y11_ag2</t>
  </si>
  <si>
    <t>LY_lost_postTB_y11_ag3</t>
  </si>
  <si>
    <t>LY_lost_postTB_y11_ag4</t>
  </si>
  <si>
    <t>LY_lost_postTB_y11_ag5</t>
  </si>
  <si>
    <t>LY_lost_postTB_y11_ag6</t>
  </si>
  <si>
    <t>LY_lost_postTB_y11_ag7</t>
  </si>
  <si>
    <t>LY_lost_postTB_y11_ag8</t>
  </si>
  <si>
    <t>LY_lost_postTB_y11_ag9</t>
  </si>
  <si>
    <t>LY_lost_postTB_y11_ag10</t>
  </si>
  <si>
    <t>LY_lost_postTB_y11_ag11</t>
  </si>
  <si>
    <t>LY_lost_postTB_y11_ag12</t>
  </si>
  <si>
    <t>LY_lost_postTB_y11_ag13</t>
  </si>
  <si>
    <t>LY_lost_postTB_y11_ag14</t>
  </si>
  <si>
    <t>LY_lost_postTB_y11_ag15</t>
  </si>
  <si>
    <t>LY_lost_postTB_y11_ag16</t>
  </si>
  <si>
    <t>LY_lost_postTB_y12_ag1</t>
  </si>
  <si>
    <t>LY_lost_postTB_y12_ag2</t>
  </si>
  <si>
    <t>LY_lost_postTB_y12_ag3</t>
  </si>
  <si>
    <t>LY_lost_postTB_y12_ag4</t>
  </si>
  <si>
    <t>LY_lost_postTB_y12_ag5</t>
  </si>
  <si>
    <t>LY_lost_postTB_y12_ag6</t>
  </si>
  <si>
    <t>LY_lost_postTB_y12_ag7</t>
  </si>
  <si>
    <t>LY_lost_postTB_y12_ag8</t>
  </si>
  <si>
    <t>LY_lost_postTB_y12_ag9</t>
  </si>
  <si>
    <t>LY_lost_postTB_y12_ag10</t>
  </si>
  <si>
    <t>LY_lost_postTB_y12_ag11</t>
  </si>
  <si>
    <t>LY_lost_postTB_y12_ag12</t>
  </si>
  <si>
    <t>LY_lost_postTB_y12_ag13</t>
  </si>
  <si>
    <t>LY_lost_postTB_y12_ag14</t>
  </si>
  <si>
    <t>LY_lost_postTB_y12_ag15</t>
  </si>
  <si>
    <t>LY_lost_postTB_y12_ag16</t>
  </si>
  <si>
    <t>LY_lost_postTB_y13_ag1</t>
  </si>
  <si>
    <t>LY_lost_postTB_y13_ag2</t>
  </si>
  <si>
    <t>LY_lost_postTB_y13_ag3</t>
  </si>
  <si>
    <t>LY_lost_postTB_y13_ag4</t>
  </si>
  <si>
    <t>LY_lost_postTB_y13_ag5</t>
  </si>
  <si>
    <t>LY_lost_postTB_y13_ag6</t>
  </si>
  <si>
    <t>LY_lost_postTB_y13_ag7</t>
  </si>
  <si>
    <t>LY_lost_postTB_y13_ag8</t>
  </si>
  <si>
    <t>LY_lost_postTB_y13_ag9</t>
  </si>
  <si>
    <t>LY_lost_postTB_y13_ag10</t>
  </si>
  <si>
    <t>LY_lost_postTB_y13_ag11</t>
  </si>
  <si>
    <t>LY_lost_postTB_y13_ag12</t>
  </si>
  <si>
    <t>LY_lost_postTB_y13_ag13</t>
  </si>
  <si>
    <t>LY_lost_postTB_y13_ag14</t>
  </si>
  <si>
    <t>LY_lost_postTB_y13_ag15</t>
  </si>
  <si>
    <t>LY_lost_postTB_y13_ag16</t>
  </si>
  <si>
    <t>LY_lost_postTB_y14_ag1</t>
  </si>
  <si>
    <t>LY_lost_postTB_y14_ag2</t>
  </si>
  <si>
    <t>LY_lost_postTB_y14_ag3</t>
  </si>
  <si>
    <t>LY_lost_postTB_y14_ag4</t>
  </si>
  <si>
    <t>LY_lost_postTB_y14_ag5</t>
  </si>
  <si>
    <t>LY_lost_postTB_y14_ag6</t>
  </si>
  <si>
    <t>LY_lost_postTB_y14_ag7</t>
  </si>
  <si>
    <t>LY_lost_postTB_y14_ag8</t>
  </si>
  <si>
    <t>LY_lost_postTB_y14_ag9</t>
  </si>
  <si>
    <t>LY_lost_postTB_y14_ag10</t>
  </si>
  <si>
    <t>LY_lost_postTB_y14_ag11</t>
  </si>
  <si>
    <t>LY_lost_postTB_y14_ag12</t>
  </si>
  <si>
    <t>LY_lost_postTB_y14_ag13</t>
  </si>
  <si>
    <t>LY_lost_postTB_y14_ag14</t>
  </si>
  <si>
    <t>LY_lost_postTB_y14_ag15</t>
  </si>
  <si>
    <t>LY_lost_postTB_y14_ag16</t>
  </si>
  <si>
    <t>LY_lost_postTB_y15_ag1</t>
  </si>
  <si>
    <t>LY_lost_postTB_y15_ag2</t>
  </si>
  <si>
    <t>LY_lost_postTB_y15_ag3</t>
  </si>
  <si>
    <t>LY_lost_postTB_y15_ag4</t>
  </si>
  <si>
    <t>LY_lost_postTB_y15_ag5</t>
  </si>
  <si>
    <t>LY_lost_postTB_y15_ag6</t>
  </si>
  <si>
    <t>LY_lost_postTB_y15_ag7</t>
  </si>
  <si>
    <t>LY_lost_postTB_y15_ag8</t>
  </si>
  <si>
    <t>LY_lost_postTB_y15_ag9</t>
  </si>
  <si>
    <t>LY_lost_postTB_y15_ag10</t>
  </si>
  <si>
    <t>LY_lost_postTB_y15_ag11</t>
  </si>
  <si>
    <t>LY_lost_postTB_y15_ag12</t>
  </si>
  <si>
    <t>LY_lost_postTB_y15_ag13</t>
  </si>
  <si>
    <t>LY_lost_postTB_y15_ag14</t>
  </si>
  <si>
    <t>LY_lost_postTB_y15_ag15</t>
  </si>
  <si>
    <t>LY_lost_postTB_y15_ag16</t>
  </si>
  <si>
    <t>LY_lost_postTB_y16_ag1</t>
  </si>
  <si>
    <t>LY_lost_postTB_y16_ag2</t>
  </si>
  <si>
    <t>LY_lost_postTB_y16_ag3</t>
  </si>
  <si>
    <t>LY_lost_postTB_y16_ag4</t>
  </si>
  <si>
    <t>LY_lost_postTB_y16_ag5</t>
  </si>
  <si>
    <t>LY_lost_postTB_y16_ag6</t>
  </si>
  <si>
    <t>LY_lost_postTB_y16_ag7</t>
  </si>
  <si>
    <t>LY_lost_postTB_y16_ag8</t>
  </si>
  <si>
    <t>LY_lost_postTB_y16_ag9</t>
  </si>
  <si>
    <t>LY_lost_postTB_y16_ag10</t>
  </si>
  <si>
    <t>LY_lost_postTB_y16_ag11</t>
  </si>
  <si>
    <t>LY_lost_postTB_y16_ag12</t>
  </si>
  <si>
    <t>LY_lost_postTB_y16_ag13</t>
  </si>
  <si>
    <t>LY_lost_postTB_y16_ag14</t>
  </si>
  <si>
    <t>LY_lost_postTB_y16_ag15</t>
  </si>
  <si>
    <t>LY_lost_postTB_y16_ag16</t>
  </si>
  <si>
    <t>LY_lost_postTB_y17_ag1</t>
  </si>
  <si>
    <t>LY_lost_postTB_y17_ag2</t>
  </si>
  <si>
    <t>LY_lost_postTB_y17_ag3</t>
  </si>
  <si>
    <t>LY_lost_postTB_y17_ag4</t>
  </si>
  <si>
    <t>LY_lost_postTB_y17_ag5</t>
  </si>
  <si>
    <t>LY_lost_postTB_y17_ag6</t>
  </si>
  <si>
    <t>LY_lost_postTB_y17_ag7</t>
  </si>
  <si>
    <t>LY_lost_postTB_y17_ag8</t>
  </si>
  <si>
    <t>LY_lost_postTB_y17_ag9</t>
  </si>
  <si>
    <t>LY_lost_postTB_y17_ag10</t>
  </si>
  <si>
    <t>LY_lost_postTB_y17_ag11</t>
  </si>
  <si>
    <t>LY_lost_postTB_y17_ag12</t>
  </si>
  <si>
    <t>LY_lost_postTB_y17_ag13</t>
  </si>
  <si>
    <t>LY_lost_postTB_y17_ag14</t>
  </si>
  <si>
    <t>LY_lost_postTB_y17_ag15</t>
  </si>
  <si>
    <t>LY_lost_postTB_y17_ag16</t>
  </si>
  <si>
    <t>LY_lost_postTB_y18_ag1</t>
  </si>
  <si>
    <t>LY_lost_postTB_y18_ag2</t>
  </si>
  <si>
    <t>LY_lost_postTB_y18_ag3</t>
  </si>
  <si>
    <t>LY_lost_postTB_y18_ag4</t>
  </si>
  <si>
    <t>LY_lost_postTB_y18_ag5</t>
  </si>
  <si>
    <t>LY_lost_postTB_y18_ag6</t>
  </si>
  <si>
    <t>LY_lost_postTB_y18_ag7</t>
  </si>
  <si>
    <t>LY_lost_postTB_y18_ag8</t>
  </si>
  <si>
    <t>LY_lost_postTB_y18_ag9</t>
  </si>
  <si>
    <t>LY_lost_postTB_y18_ag10</t>
  </si>
  <si>
    <t>LY_lost_postTB_y18_ag11</t>
  </si>
  <si>
    <t>LY_lost_postTB_y18_ag12</t>
  </si>
  <si>
    <t>LY_lost_postTB_y18_ag13</t>
  </si>
  <si>
    <t>LY_lost_postTB_y18_ag14</t>
  </si>
  <si>
    <t>LY_lost_postTB_y18_ag15</t>
  </si>
  <si>
    <t>LY_lost_postTB_y18_ag16</t>
  </si>
  <si>
    <t>LY_lost_postTB_y19_ag1</t>
  </si>
  <si>
    <t>LY_lost_postTB_y19_ag2</t>
  </si>
  <si>
    <t>LY_lost_postTB_y19_ag3</t>
  </si>
  <si>
    <t>LY_lost_postTB_y19_ag4</t>
  </si>
  <si>
    <t>LY_lost_postTB_y19_ag5</t>
  </si>
  <si>
    <t>LY_lost_postTB_y19_ag6</t>
  </si>
  <si>
    <t>LY_lost_postTB_y19_ag7</t>
  </si>
  <si>
    <t>LY_lost_postTB_y19_ag8</t>
  </si>
  <si>
    <t>LY_lost_postTB_y19_ag9</t>
  </si>
  <si>
    <t>LY_lost_postTB_y19_ag10</t>
  </si>
  <si>
    <t>LY_lost_postTB_y19_ag11</t>
  </si>
  <si>
    <t>LY_lost_postTB_y19_ag12</t>
  </si>
  <si>
    <t>LY_lost_postTB_y19_ag13</t>
  </si>
  <si>
    <t>LY_lost_postTB_y19_ag14</t>
  </si>
  <si>
    <t>LY_lost_postTB_y19_ag15</t>
  </si>
  <si>
    <t>LY_lost_postTB_y19_ag16</t>
  </si>
  <si>
    <t>LY_lost_postTB_y20_ag1</t>
  </si>
  <si>
    <t>LY_lost_postTB_y20_ag2</t>
  </si>
  <si>
    <t>LY_lost_postTB_y20_ag3</t>
  </si>
  <si>
    <t>LY_lost_postTB_y20_ag4</t>
  </si>
  <si>
    <t>LY_lost_postTB_y20_ag5</t>
  </si>
  <si>
    <t>LY_lost_postTB_y20_ag6</t>
  </si>
  <si>
    <t>LY_lost_postTB_y20_ag7</t>
  </si>
  <si>
    <t>LY_lost_postTB_y20_ag8</t>
  </si>
  <si>
    <t>LY_lost_postTB_y20_ag9</t>
  </si>
  <si>
    <t>LY_lost_postTB_y20_ag10</t>
  </si>
  <si>
    <t>LY_lost_postTB_y20_ag11</t>
  </si>
  <si>
    <t>LY_lost_postTB_y20_ag12</t>
  </si>
  <si>
    <t>LY_lost_postTB_y20_ag13</t>
  </si>
  <si>
    <t>LY_lost_postTB_y20_ag14</t>
  </si>
  <si>
    <t>LY_lost_postTB_y20_ag15</t>
  </si>
  <si>
    <t>LY_lost_postTB_y20_ag16</t>
  </si>
  <si>
    <t>LY_lost_postTB_y21_ag1</t>
  </si>
  <si>
    <t>LY_lost_postTB_y21_ag2</t>
  </si>
  <si>
    <t>LY_lost_postTB_y21_ag3</t>
  </si>
  <si>
    <t>LY_lost_postTB_y21_ag4</t>
  </si>
  <si>
    <t>LY_lost_postTB_y21_ag5</t>
  </si>
  <si>
    <t>LY_lost_postTB_y21_ag6</t>
  </si>
  <si>
    <t>LY_lost_postTB_y21_ag7</t>
  </si>
  <si>
    <t>LY_lost_postTB_y21_ag8</t>
  </si>
  <si>
    <t>LY_lost_postTB_y21_ag9</t>
  </si>
  <si>
    <t>LY_lost_postTB_y21_ag10</t>
  </si>
  <si>
    <t>LY_lost_postTB_y21_ag11</t>
  </si>
  <si>
    <t>LY_lost_postTB_y21_ag12</t>
  </si>
  <si>
    <t>LY_lost_postTB_y21_ag13</t>
  </si>
  <si>
    <t>LY_lost_postTB_y21_ag14</t>
  </si>
  <si>
    <t>LY_lost_postTB_y21_ag15</t>
  </si>
  <si>
    <t>LY_lost_postTB_y21_ag16</t>
  </si>
  <si>
    <t>LY_lost_postTB_y22_ag1</t>
  </si>
  <si>
    <t>LY_lost_postTB_y22_ag2</t>
  </si>
  <si>
    <t>LY_lost_postTB_y22_ag3</t>
  </si>
  <si>
    <t>LY_lost_postTB_y22_ag4</t>
  </si>
  <si>
    <t>LY_lost_postTB_y22_ag5</t>
  </si>
  <si>
    <t>LY_lost_postTB_y22_ag6</t>
  </si>
  <si>
    <t>LY_lost_postTB_y22_ag7</t>
  </si>
  <si>
    <t>LY_lost_postTB_y22_ag8</t>
  </si>
  <si>
    <t>LY_lost_postTB_y22_ag9</t>
  </si>
  <si>
    <t>LY_lost_postTB_y22_ag10</t>
  </si>
  <si>
    <t>LY_lost_postTB_y22_ag11</t>
  </si>
  <si>
    <t>LY_lost_postTB_y22_ag12</t>
  </si>
  <si>
    <t>LY_lost_postTB_y22_ag13</t>
  </si>
  <si>
    <t>LY_lost_postTB_y22_ag14</t>
  </si>
  <si>
    <t>LY_lost_postTB_y22_ag15</t>
  </si>
  <si>
    <t>LY_lost_postTB_y22_ag16</t>
  </si>
  <si>
    <t>LY_lost_postTB_y23_ag1</t>
  </si>
  <si>
    <t>LY_lost_postTB_y23_ag2</t>
  </si>
  <si>
    <t>LY_lost_postTB_y23_ag3</t>
  </si>
  <si>
    <t>LY_lost_postTB_y23_ag4</t>
  </si>
  <si>
    <t>LY_lost_postTB_y23_ag5</t>
  </si>
  <si>
    <t>LY_lost_postTB_y23_ag6</t>
  </si>
  <si>
    <t>LY_lost_postTB_y23_ag7</t>
  </si>
  <si>
    <t>LY_lost_postTB_y23_ag8</t>
  </si>
  <si>
    <t>LY_lost_postTB_y23_ag9</t>
  </si>
  <si>
    <t>LY_lost_postTB_y23_ag10</t>
  </si>
  <si>
    <t>LY_lost_postTB_y23_ag11</t>
  </si>
  <si>
    <t>LY_lost_postTB_y23_ag12</t>
  </si>
  <si>
    <t>LY_lost_postTB_y23_ag13</t>
  </si>
  <si>
    <t>LY_lost_postTB_y23_ag14</t>
  </si>
  <si>
    <t>LY_lost_postTB_y23_ag15</t>
  </si>
  <si>
    <t>LY_lost_postTB_y23_ag16</t>
  </si>
  <si>
    <t>LY_lost_postTB_y24_ag1</t>
  </si>
  <si>
    <t>LY_lost_postTB_y24_ag2</t>
  </si>
  <si>
    <t>LY_lost_postTB_y24_ag3</t>
  </si>
  <si>
    <t>LY_lost_postTB_y24_ag4</t>
  </si>
  <si>
    <t>LY_lost_postTB_y24_ag5</t>
  </si>
  <si>
    <t>LY_lost_postTB_y24_ag6</t>
  </si>
  <si>
    <t>LY_lost_postTB_y24_ag7</t>
  </si>
  <si>
    <t>LY_lost_postTB_y24_ag8</t>
  </si>
  <si>
    <t>LY_lost_postTB_y24_ag9</t>
  </si>
  <si>
    <t>LY_lost_postTB_y24_ag10</t>
  </si>
  <si>
    <t>LY_lost_postTB_y24_ag11</t>
  </si>
  <si>
    <t>LY_lost_postTB_y24_ag12</t>
  </si>
  <si>
    <t>LY_lost_postTB_y24_ag13</t>
  </si>
  <si>
    <t>LY_lost_postTB_y24_ag14</t>
  </si>
  <si>
    <t>LY_lost_postTB_y24_ag15</t>
  </si>
  <si>
    <t>LY_lost_postTB_y24_ag16</t>
  </si>
  <si>
    <t>LY_lost_postTB_y25_ag1</t>
  </si>
  <si>
    <t>LY_lost_postTB_y25_ag2</t>
  </si>
  <si>
    <t>LY_lost_postTB_y25_ag3</t>
  </si>
  <si>
    <t>LY_lost_postTB_y25_ag4</t>
  </si>
  <si>
    <t>LY_lost_postTB_y25_ag5</t>
  </si>
  <si>
    <t>LY_lost_postTB_y25_ag6</t>
  </si>
  <si>
    <t>LY_lost_postTB_y25_ag7</t>
  </si>
  <si>
    <t>LY_lost_postTB_y25_ag8</t>
  </si>
  <si>
    <t>LY_lost_postTB_y25_ag9</t>
  </si>
  <si>
    <t>LY_lost_postTB_y25_ag10</t>
  </si>
  <si>
    <t>LY_lost_postTB_y25_ag11</t>
  </si>
  <si>
    <t>LY_lost_postTB_y25_ag12</t>
  </si>
  <si>
    <t>LY_lost_postTB_y25_ag13</t>
  </si>
  <si>
    <t>LY_lost_postTB_y25_ag14</t>
  </si>
  <si>
    <t>LY_lost_postTB_y25_ag15</t>
  </si>
  <si>
    <t>LY_lost_postTB_y25_ag16</t>
  </si>
  <si>
    <t>LY lost through post-TB (discounted)</t>
  </si>
  <si>
    <t>Post-TB life expectancy (discounted)</t>
  </si>
  <si>
    <t>Healthy life expectancy (discounted)</t>
  </si>
  <si>
    <t>COSTS per activity</t>
  </si>
  <si>
    <t>HHCM assessment</t>
  </si>
  <si>
    <t>Community screening Xpert</t>
  </si>
  <si>
    <t>c_a_screen_Xpert</t>
  </si>
  <si>
    <t>LIFE EXPECTANCY</t>
  </si>
  <si>
    <t>Mortality RR = 1.14</t>
  </si>
  <si>
    <t>TABLES containing numerical values to read to R</t>
  </si>
  <si>
    <t>(Menzies 2021)</t>
  </si>
  <si>
    <t>c_a_nutrition_contact</t>
  </si>
  <si>
    <t>Nutrition for TB patients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</si>
  <si>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</si>
  <si>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</si>
  <si>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</si>
  <si>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</si>
  <si>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</si>
  <si>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</si>
  <si>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</si>
  <si>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</si>
  <si>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</si>
  <si>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y20</t>
  </si>
  <si>
    <t>y21</t>
  </si>
  <si>
    <t>y22</t>
  </si>
  <si>
    <t>y23</t>
  </si>
  <si>
    <t>y24</t>
  </si>
  <si>
    <t>y25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</si>
  <si>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</si>
  <si>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</si>
  <si>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</si>
  <si>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</si>
  <si>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</si>
  <si>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</si>
  <si>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</si>
  <si>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</si>
  <si>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</si>
  <si>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</si>
  <si>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c_a_screen_CXR_lo</t>
  </si>
  <si>
    <t>Community screening CXR (low cost estimate)</t>
  </si>
  <si>
    <t>c_a_nutrition_index</t>
  </si>
  <si>
    <t>Nutrition for household contacts</t>
  </si>
  <si>
    <t>Community screening CXR (high cost estimate)</t>
  </si>
  <si>
    <t>c_a_screen_CXR_hi</t>
  </si>
  <si>
    <t>c_a_vax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</si>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</sst>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8" formatCode="0.00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7" fillId="0" borderId="0" xfId="0" applyFont="1"/>
    <xf numFmtId="0" fontId="4" fillId="0" borderId="0" xfId="0" applyFont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4" borderId="2" xfId="0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7" xfId="0" applyFill="1" applyBorder="1"/>
    <xf numFmtId="0" fontId="0" fillId="4" borderId="6" xfId="0" applyFill="1" applyBorder="1"/>
    <xf numFmtId="0" fontId="0" fillId="4" borderId="8" xfId="0" applyFill="1" applyBorder="1"/>
    <xf numFmtId="164" fontId="0" fillId="4" borderId="1" xfId="0" applyNumberFormat="1" applyFill="1" applyBorder="1"/>
    <xf numFmtId="164" fontId="0" fillId="4" borderId="2" xfId="0" applyNumberFormat="1" applyFill="1" applyBorder="1"/>
    <xf numFmtId="164" fontId="0" fillId="4" borderId="3" xfId="0" applyNumberFormat="1" applyFill="1" applyBorder="1"/>
    <xf numFmtId="0" fontId="0" fillId="4" borderId="5" xfId="0" applyFill="1" applyBorder="1"/>
    <xf numFmtId="0" fontId="0" fillId="4" borderId="4" xfId="0" applyFill="1" applyBorder="1"/>
    <xf numFmtId="0" fontId="0" fillId="4" borderId="0" xfId="0" applyFill="1"/>
    <xf numFmtId="0" fontId="3" fillId="4" borderId="11" xfId="0" applyFont="1" applyFill="1" applyBorder="1"/>
    <xf numFmtId="0" fontId="3" fillId="4" borderId="9" xfId="0" applyFont="1" applyFill="1" applyBorder="1"/>
    <xf numFmtId="0" fontId="3" fillId="4" borderId="10" xfId="0" applyFont="1" applyFill="1" applyBorder="1"/>
    <xf numFmtId="0" fontId="0" fillId="2" borderId="12" xfId="0" applyFill="1" applyBorder="1"/>
    <xf numFmtId="0" fontId="0" fillId="2" borderId="14" xfId="0" applyFill="1" applyBorder="1"/>
    <xf numFmtId="0" fontId="0" fillId="2" borderId="13" xfId="0" applyFill="1" applyBorder="1"/>
    <xf numFmtId="2" fontId="3" fillId="4" borderId="1" xfId="0" applyNumberFormat="1" applyFont="1" applyFill="1" applyBorder="1"/>
    <xf numFmtId="2" fontId="3" fillId="4" borderId="2" xfId="0" applyNumberFormat="1" applyFont="1" applyFill="1" applyBorder="1"/>
    <xf numFmtId="2" fontId="3" fillId="4" borderId="3" xfId="0" applyNumberFormat="1" applyFont="1" applyFill="1" applyBorder="1"/>
    <xf numFmtId="2" fontId="3" fillId="4" borderId="6" xfId="0" applyNumberFormat="1" applyFont="1" applyFill="1" applyBorder="1"/>
    <xf numFmtId="2" fontId="3" fillId="4" borderId="7" xfId="0" applyNumberFormat="1" applyFont="1" applyFill="1" applyBorder="1"/>
    <xf numFmtId="2" fontId="3" fillId="4" borderId="8" xfId="0" applyNumberFormat="1" applyFont="1" applyFill="1" applyBorder="1"/>
    <xf numFmtId="165" fontId="0" fillId="2" borderId="1" xfId="0" applyNumberFormat="1" applyFill="1" applyBorder="1"/>
    <xf numFmtId="165" fontId="0" fillId="2" borderId="4" xfId="0" applyNumberFormat="1" applyFill="1" applyBorder="1"/>
    <xf numFmtId="165" fontId="0" fillId="2" borderId="6" xfId="0" applyNumberFormat="1" applyFill="1" applyBorder="1"/>
    <xf numFmtId="165" fontId="0" fillId="2" borderId="3" xfId="0" applyNumberFormat="1" applyFill="1" applyBorder="1"/>
    <xf numFmtId="165" fontId="0" fillId="2" borderId="5" xfId="0" applyNumberFormat="1" applyFill="1" applyBorder="1"/>
    <xf numFmtId="165" fontId="0" fillId="2" borderId="8" xfId="0" applyNumberFormat="1" applyFill="1" applyBorder="1"/>
    <xf numFmtId="165" fontId="0" fillId="3" borderId="2" xfId="0" applyNumberFormat="1" applyFill="1" applyBorder="1"/>
    <xf numFmtId="165" fontId="0" fillId="3" borderId="3" xfId="0" applyNumberFormat="1" applyFill="1" applyBorder="1"/>
    <xf numFmtId="165" fontId="0" fillId="3" borderId="5" xfId="0" applyNumberFormat="1" applyFill="1" applyBorder="1"/>
    <xf numFmtId="0" fontId="3" fillId="0" borderId="4" xfId="0" applyFont="1" applyBorder="1"/>
    <xf numFmtId="165" fontId="3" fillId="3" borderId="5" xfId="0" applyNumberFormat="1" applyFont="1" applyFill="1" applyBorder="1"/>
    <xf numFmtId="165" fontId="0" fillId="3" borderId="1" xfId="0" applyNumberFormat="1" applyFill="1" applyBorder="1"/>
    <xf numFmtId="165" fontId="0" fillId="3" borderId="4" xfId="0" applyNumberFormat="1" applyFill="1" applyBorder="1"/>
    <xf numFmtId="165" fontId="3" fillId="3" borderId="4" xfId="0" applyNumberFormat="1" applyFont="1" applyFill="1" applyBorder="1"/>
    <xf numFmtId="165" fontId="0" fillId="2" borderId="0" xfId="0" applyNumberFormat="1" applyFill="1"/>
    <xf numFmtId="165" fontId="0" fillId="2" borderId="2" xfId="0" applyNumberFormat="1" applyFill="1" applyBorder="1"/>
    <xf numFmtId="165" fontId="0" fillId="2" borderId="7" xfId="0" applyNumberFormat="1" applyFill="1" applyBorder="1"/>
    <xf numFmtId="1" fontId="3" fillId="5" borderId="4" xfId="0" applyNumberFormat="1" applyFont="1" applyFill="1" applyBorder="1"/>
    <xf numFmtId="1" fontId="3" fillId="5" borderId="5" xfId="0" applyNumberFormat="1" applyFont="1" applyFill="1" applyBorder="1"/>
    <xf numFmtId="0" fontId="3" fillId="0" borderId="6" xfId="0" applyFont="1" applyBorder="1"/>
    <xf numFmtId="0" fontId="0" fillId="3" borderId="2" xfId="0" applyFill="1" applyBorder="1"/>
    <xf numFmtId="0" fontId="0" fillId="3" borderId="0" xfId="0" applyFill="1"/>
    <xf numFmtId="0" fontId="3" fillId="3" borderId="0" xfId="0" applyFont="1" applyFill="1"/>
    <xf numFmtId="0" fontId="3" fillId="3" borderId="7" xfId="0" applyFont="1" applyFill="1" applyBorder="1"/>
    <xf numFmtId="165" fontId="0" fillId="3" borderId="0" xfId="0" applyNumberFormat="1" applyFill="1"/>
    <xf numFmtId="165" fontId="3" fillId="3" borderId="0" xfId="0" applyNumberFormat="1" applyFont="1" applyFill="1"/>
    <xf numFmtId="1" fontId="3" fillId="5" borderId="7" xfId="0" applyNumberFormat="1" applyFont="1" applyFill="1" applyBorder="1"/>
    <xf numFmtId="1" fontId="3" fillId="5" borderId="8" xfId="0" applyNumberFormat="1" applyFont="1" applyFill="1" applyBorder="1"/>
    <xf numFmtId="165" fontId="3" fillId="3" borderId="6" xfId="0" applyNumberFormat="1" applyFont="1" applyFill="1" applyBorder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39E7C2"/>
      <color rgb="FFF5FC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F3CC-38BD-4C0C-9207-E2457E27791C}">
  <dimension ref="A1:O451"/>
  <sheetViews>
    <sheetView tabSelected="1" workbookViewId="0"/>
  </sheetViews>
  <sheetFormatPr defaultColWidth="8.77734375" defaultRowHeight="14.4" x14ac:dyDescent="0.3"/>
  <cols>
    <col min="1" max="1" width="9.77734375" customWidth="1"/>
    <col min="2" max="2" width="23.77734375" customWidth="1"/>
    <col min="3" max="3" width="20.109375" customWidth="1"/>
    <col min="7" max="7" width="17.44140625" customWidth="1"/>
    <col min="8" max="8" width="9" customWidth="1"/>
    <col min="12" max="12" width="21.33203125" bestFit="1" customWidth="1"/>
  </cols>
  <sheetData>
    <row r="1" spans="1:6" ht="15.6" x14ac:dyDescent="0.3">
      <c r="A1" s="14" t="s">
        <v>1262</v>
      </c>
    </row>
    <row r="3" spans="1:6" x14ac:dyDescent="0.3">
      <c r="A3" s="1" t="s">
        <v>20</v>
      </c>
    </row>
    <row r="5" spans="1:6" x14ac:dyDescent="0.3">
      <c r="B5" t="s">
        <v>38</v>
      </c>
      <c r="C5" t="s">
        <v>4</v>
      </c>
    </row>
    <row r="6" spans="1:6" x14ac:dyDescent="0.3">
      <c r="A6" s="1" t="s">
        <v>18</v>
      </c>
      <c r="D6" s="5" t="s">
        <v>24</v>
      </c>
      <c r="E6" s="6" t="s">
        <v>25</v>
      </c>
      <c r="F6" s="7" t="s">
        <v>26</v>
      </c>
    </row>
    <row r="7" spans="1:6" x14ac:dyDescent="0.3">
      <c r="B7" s="5" t="s">
        <v>21</v>
      </c>
      <c r="C7" s="22" t="s">
        <v>22</v>
      </c>
      <c r="D7" s="23">
        <v>0.33300000000000002</v>
      </c>
      <c r="E7" s="22">
        <v>0.33300000000000002</v>
      </c>
      <c r="F7" s="24">
        <v>0.33300000000000002</v>
      </c>
    </row>
    <row r="8" spans="1:6" x14ac:dyDescent="0.3">
      <c r="B8" s="9" t="s">
        <v>0</v>
      </c>
      <c r="C8" s="25" t="s">
        <v>23</v>
      </c>
      <c r="D8" s="26">
        <v>3.5999999999999997E-2</v>
      </c>
      <c r="E8" s="25">
        <v>3.5999999999999997E-2</v>
      </c>
      <c r="F8" s="27">
        <v>3.5999999999999997E-2</v>
      </c>
    </row>
    <row r="10" spans="1:6" x14ac:dyDescent="0.3">
      <c r="A10" s="1" t="s">
        <v>19</v>
      </c>
    </row>
    <row r="11" spans="1:6" x14ac:dyDescent="0.3">
      <c r="D11" s="11" t="s">
        <v>24</v>
      </c>
      <c r="E11" s="12" t="s">
        <v>25</v>
      </c>
      <c r="F11" s="13" t="s">
        <v>26</v>
      </c>
    </row>
    <row r="12" spans="1:6" x14ac:dyDescent="0.3">
      <c r="B12" s="5" t="s">
        <v>31</v>
      </c>
      <c r="C12" s="24" t="s">
        <v>32</v>
      </c>
      <c r="D12" s="28">
        <v>1</v>
      </c>
      <c r="E12" s="29">
        <v>1</v>
      </c>
      <c r="F12" s="30">
        <v>1</v>
      </c>
    </row>
    <row r="13" spans="1:6" x14ac:dyDescent="0.3">
      <c r="B13" s="8" t="s">
        <v>21</v>
      </c>
      <c r="C13" s="31" t="s">
        <v>33</v>
      </c>
      <c r="D13" s="32">
        <f>F13</f>
        <v>0.62</v>
      </c>
      <c r="E13" s="33">
        <v>0.56000000000000005</v>
      </c>
      <c r="F13" s="31">
        <v>0.62</v>
      </c>
    </row>
    <row r="14" spans="1:6" x14ac:dyDescent="0.3">
      <c r="B14" s="9" t="s">
        <v>0</v>
      </c>
      <c r="C14" s="27" t="s">
        <v>34</v>
      </c>
      <c r="D14" s="26">
        <f>1-D8</f>
        <v>0.96399999999999997</v>
      </c>
      <c r="E14" s="25">
        <f>1-E8</f>
        <v>0.96399999999999997</v>
      </c>
      <c r="F14" s="27">
        <f>1-F8</f>
        <v>0.96399999999999997</v>
      </c>
    </row>
    <row r="16" spans="1:6" x14ac:dyDescent="0.3">
      <c r="A16" s="1" t="s">
        <v>3</v>
      </c>
      <c r="B16" s="1"/>
    </row>
    <row r="17" spans="1:7" x14ac:dyDescent="0.3">
      <c r="D17" s="11" t="s">
        <v>24</v>
      </c>
      <c r="E17" s="12" t="s">
        <v>25</v>
      </c>
      <c r="F17" s="13" t="s">
        <v>26</v>
      </c>
    </row>
    <row r="18" spans="1:7" x14ac:dyDescent="0.3">
      <c r="B18" s="5" t="s">
        <v>16</v>
      </c>
      <c r="C18" s="24" t="s">
        <v>36</v>
      </c>
      <c r="D18" s="40">
        <v>6967.5451816869891</v>
      </c>
      <c r="E18" s="41">
        <v>413.46582839814033</v>
      </c>
      <c r="F18" s="42">
        <v>2443.5923408975582</v>
      </c>
    </row>
    <row r="19" spans="1:7" x14ac:dyDescent="0.3">
      <c r="B19" s="9" t="s">
        <v>35</v>
      </c>
      <c r="C19" s="27" t="s">
        <v>37</v>
      </c>
      <c r="D19" s="43">
        <v>10734.719907896721</v>
      </c>
      <c r="E19" s="44">
        <v>568.51551404744293</v>
      </c>
      <c r="F19" s="45">
        <v>3285.05518731954</v>
      </c>
    </row>
    <row r="21" spans="1:7" s="4" customFormat="1" x14ac:dyDescent="0.3">
      <c r="A21" s="10" t="s">
        <v>17</v>
      </c>
      <c r="C21" s="15"/>
    </row>
    <row r="22" spans="1:7" s="4" customFormat="1" x14ac:dyDescent="0.3">
      <c r="D22" s="16" t="s">
        <v>24</v>
      </c>
      <c r="E22" s="17" t="s">
        <v>25</v>
      </c>
      <c r="F22" s="18" t="s">
        <v>26</v>
      </c>
      <c r="G22" s="18" t="s">
        <v>1298</v>
      </c>
    </row>
    <row r="23" spans="1:7" s="4" customFormat="1" x14ac:dyDescent="0.3">
      <c r="B23" s="16" t="s">
        <v>28</v>
      </c>
      <c r="C23" s="34" t="s">
        <v>27</v>
      </c>
      <c r="D23" s="35">
        <v>0.05</v>
      </c>
      <c r="E23" s="36">
        <v>0.05</v>
      </c>
      <c r="F23" s="34">
        <v>0.05</v>
      </c>
      <c r="G23" s="34">
        <v>0.05</v>
      </c>
    </row>
    <row r="24" spans="1:7" s="3" customFormat="1" x14ac:dyDescent="0.3">
      <c r="B24" s="3" t="s">
        <v>30</v>
      </c>
      <c r="C24" s="3" t="s">
        <v>29</v>
      </c>
      <c r="D24" s="3">
        <f>1/(1+BRA_disc)</f>
        <v>0.95238095238095233</v>
      </c>
      <c r="E24" s="3">
        <f>1/(1+IND_disc)</f>
        <v>0.95238095238095233</v>
      </c>
      <c r="F24" s="3">
        <f>1/(1+ZAF_disc)</f>
        <v>0.95238095238095233</v>
      </c>
      <c r="G24" s="75">
        <f>1/(1+disc)</f>
        <v>0.95238095238095233</v>
      </c>
    </row>
    <row r="25" spans="1:7" s="4" customFormat="1" x14ac:dyDescent="0.3"/>
    <row r="26" spans="1:7" s="4" customFormat="1" x14ac:dyDescent="0.3"/>
    <row r="27" spans="1:7" x14ac:dyDescent="0.3">
      <c r="A27" s="1" t="s">
        <v>1256</v>
      </c>
    </row>
    <row r="28" spans="1:7" x14ac:dyDescent="0.3">
      <c r="B28" t="s">
        <v>39</v>
      </c>
    </row>
    <row r="29" spans="1:7" x14ac:dyDescent="0.3">
      <c r="D29" s="5" t="s">
        <v>24</v>
      </c>
      <c r="E29" s="6" t="s">
        <v>25</v>
      </c>
      <c r="F29" s="7" t="s">
        <v>26</v>
      </c>
    </row>
    <row r="30" spans="1:7" x14ac:dyDescent="0.3">
      <c r="B30" s="5" t="s">
        <v>1</v>
      </c>
      <c r="C30" s="66" t="s">
        <v>1297</v>
      </c>
      <c r="D30" s="57">
        <v>10.469999999999999</v>
      </c>
      <c r="E30" s="52">
        <v>10.469999999999999</v>
      </c>
      <c r="F30" s="53">
        <v>10.469999999999999</v>
      </c>
    </row>
    <row r="31" spans="1:7" x14ac:dyDescent="0.3">
      <c r="B31" s="8" t="s">
        <v>1257</v>
      </c>
      <c r="C31" s="67" t="s">
        <v>49</v>
      </c>
      <c r="D31" s="58">
        <v>23.858339999999998</v>
      </c>
      <c r="E31" s="70">
        <v>32.160607200000001</v>
      </c>
      <c r="F31" s="54">
        <v>36.8815113</v>
      </c>
    </row>
    <row r="32" spans="1:7" x14ac:dyDescent="0.3">
      <c r="B32" s="8" t="s">
        <v>6</v>
      </c>
      <c r="C32" s="67" t="s">
        <v>50</v>
      </c>
      <c r="D32" s="58">
        <v>22.240676699999998</v>
      </c>
      <c r="E32" s="70">
        <v>35.428356700000002</v>
      </c>
      <c r="F32" s="54">
        <v>84.043956699999995</v>
      </c>
    </row>
    <row r="33" spans="1:6" x14ac:dyDescent="0.3">
      <c r="B33" s="55" t="s">
        <v>7</v>
      </c>
      <c r="C33" s="68" t="s">
        <v>51</v>
      </c>
      <c r="D33" s="58">
        <v>41.136380000000003</v>
      </c>
      <c r="E33" s="70">
        <v>64.214820000000003</v>
      </c>
      <c r="F33" s="54">
        <v>149.29211999999998</v>
      </c>
    </row>
    <row r="34" spans="1:6" x14ac:dyDescent="0.3">
      <c r="A34" s="4"/>
      <c r="B34" s="55" t="s">
        <v>1265</v>
      </c>
      <c r="C34" s="68" t="s">
        <v>1293</v>
      </c>
      <c r="D34" s="63">
        <v>0</v>
      </c>
      <c r="E34" s="71">
        <v>16.526693600000002</v>
      </c>
      <c r="F34" s="64">
        <v>0</v>
      </c>
    </row>
    <row r="35" spans="1:6" s="4" customFormat="1" x14ac:dyDescent="0.3">
      <c r="B35" s="55" t="s">
        <v>1294</v>
      </c>
      <c r="C35" s="68" t="s">
        <v>1264</v>
      </c>
      <c r="D35" s="63">
        <v>0</v>
      </c>
      <c r="E35" s="71">
        <v>5.9679726999999998</v>
      </c>
      <c r="F35" s="64">
        <v>0</v>
      </c>
    </row>
    <row r="36" spans="1:6" x14ac:dyDescent="0.3">
      <c r="B36" s="55" t="s">
        <v>1295</v>
      </c>
      <c r="C36" s="68" t="s">
        <v>1296</v>
      </c>
      <c r="D36" s="58">
        <v>41.395526500000003</v>
      </c>
      <c r="E36" s="70">
        <v>41.395526500000003</v>
      </c>
      <c r="F36" s="54">
        <v>41.395526500000003</v>
      </c>
    </row>
    <row r="37" spans="1:6" x14ac:dyDescent="0.3">
      <c r="B37" s="55" t="s">
        <v>1292</v>
      </c>
      <c r="C37" s="68" t="s">
        <v>1291</v>
      </c>
      <c r="D37" s="58">
        <v>5.3600174000000003</v>
      </c>
      <c r="E37" s="71">
        <v>2.4253472</v>
      </c>
      <c r="F37" s="56">
        <v>5.3600174000000003</v>
      </c>
    </row>
    <row r="38" spans="1:6" x14ac:dyDescent="0.3">
      <c r="B38" s="55" t="s">
        <v>1258</v>
      </c>
      <c r="C38" s="68" t="s">
        <v>1259</v>
      </c>
      <c r="D38" s="58">
        <v>19.36</v>
      </c>
      <c r="E38" s="71">
        <v>24.365347199999999</v>
      </c>
      <c r="F38" s="56">
        <v>16.932351300000001</v>
      </c>
    </row>
    <row r="39" spans="1:6" x14ac:dyDescent="0.3">
      <c r="B39" s="55" t="s">
        <v>10</v>
      </c>
      <c r="C39" s="68" t="s">
        <v>41</v>
      </c>
      <c r="D39" s="58">
        <v>16.538627300000002</v>
      </c>
      <c r="E39" s="71">
        <v>13.312165201999999</v>
      </c>
      <c r="F39" s="56">
        <v>30.848617697159998</v>
      </c>
    </row>
    <row r="40" spans="1:6" x14ac:dyDescent="0.3">
      <c r="B40" s="55" t="s">
        <v>11</v>
      </c>
      <c r="C40" s="68" t="s">
        <v>42</v>
      </c>
      <c r="D40" s="58">
        <v>23.858339999999998</v>
      </c>
      <c r="E40" s="71">
        <v>32.160607200000001</v>
      </c>
      <c r="F40" s="56">
        <v>36.8815113</v>
      </c>
    </row>
    <row r="41" spans="1:6" x14ac:dyDescent="0.3">
      <c r="B41" s="55" t="s">
        <v>40</v>
      </c>
      <c r="C41" s="68" t="s">
        <v>43</v>
      </c>
      <c r="D41" s="58">
        <v>19.36</v>
      </c>
      <c r="E41" s="71">
        <v>24.365347199999999</v>
      </c>
      <c r="F41" s="56">
        <v>16.932351300000001</v>
      </c>
    </row>
    <row r="42" spans="1:6" x14ac:dyDescent="0.3">
      <c r="B42" s="55" t="s">
        <v>12</v>
      </c>
      <c r="C42" s="68" t="s">
        <v>44</v>
      </c>
      <c r="D42" s="58">
        <v>119.31979670000001</v>
      </c>
      <c r="E42" s="71">
        <v>142.39823670000001</v>
      </c>
      <c r="F42" s="56">
        <v>227.47553669999999</v>
      </c>
    </row>
    <row r="43" spans="1:6" x14ac:dyDescent="0.3">
      <c r="B43" s="55" t="s">
        <v>13</v>
      </c>
      <c r="C43" s="68" t="s">
        <v>45</v>
      </c>
      <c r="D43" s="58">
        <v>198.8810167</v>
      </c>
      <c r="E43" s="71">
        <v>215.3656167</v>
      </c>
      <c r="F43" s="56">
        <v>276.13511670000003</v>
      </c>
    </row>
    <row r="44" spans="1:6" x14ac:dyDescent="0.3">
      <c r="A44" s="4"/>
      <c r="B44" s="55" t="s">
        <v>14</v>
      </c>
      <c r="C44" s="68" t="s">
        <v>46</v>
      </c>
      <c r="D44" s="59">
        <v>3600.2869957000003</v>
      </c>
      <c r="E44" s="71">
        <v>450.54052590000003</v>
      </c>
      <c r="F44" s="56">
        <v>543.03021790000003</v>
      </c>
    </row>
    <row r="45" spans="1:6" x14ac:dyDescent="0.3">
      <c r="A45" s="4"/>
      <c r="B45" s="55" t="s">
        <v>15</v>
      </c>
      <c r="C45" s="68" t="s">
        <v>47</v>
      </c>
      <c r="D45" s="59">
        <v>394.386213</v>
      </c>
      <c r="E45" s="71">
        <v>417.464653</v>
      </c>
      <c r="F45" s="56">
        <v>502.54195299999998</v>
      </c>
    </row>
    <row r="46" spans="1:6" x14ac:dyDescent="0.3">
      <c r="A46" s="4"/>
      <c r="B46" s="65" t="s">
        <v>2</v>
      </c>
      <c r="C46" s="69" t="s">
        <v>48</v>
      </c>
      <c r="D46" s="74">
        <v>21.516777300000001</v>
      </c>
      <c r="E46" s="72">
        <v>0</v>
      </c>
      <c r="F46" s="73">
        <v>0</v>
      </c>
    </row>
    <row r="48" spans="1:6" x14ac:dyDescent="0.3">
      <c r="A48" s="1"/>
    </row>
    <row r="49" spans="1:15" x14ac:dyDescent="0.3">
      <c r="A49" s="1" t="s">
        <v>52</v>
      </c>
    </row>
    <row r="50" spans="1:15" x14ac:dyDescent="0.3">
      <c r="B50" t="s">
        <v>1255</v>
      </c>
      <c r="G50" t="s">
        <v>1254</v>
      </c>
      <c r="L50" t="s">
        <v>1253</v>
      </c>
    </row>
    <row r="51" spans="1:15" x14ac:dyDescent="0.3">
      <c r="C51" s="5" t="s">
        <v>24</v>
      </c>
      <c r="D51" s="6" t="s">
        <v>25</v>
      </c>
      <c r="E51" s="7" t="s">
        <v>26</v>
      </c>
      <c r="H51" s="5" t="s">
        <v>24</v>
      </c>
      <c r="I51" s="6" t="s">
        <v>25</v>
      </c>
      <c r="J51" s="7" t="s">
        <v>26</v>
      </c>
      <c r="M51" s="5" t="s">
        <v>24</v>
      </c>
      <c r="N51" s="6" t="s">
        <v>25</v>
      </c>
      <c r="O51" s="7" t="s">
        <v>26</v>
      </c>
    </row>
    <row r="52" spans="1:15" x14ac:dyDescent="0.3">
      <c r="B52" s="19" t="s">
        <v>53</v>
      </c>
      <c r="C52" s="46">
        <f>LE_BRA!C4</f>
        <v>19.657236439744349</v>
      </c>
      <c r="D52" s="61">
        <f>LE_IND!C4</f>
        <v>19.450538776278364</v>
      </c>
      <c r="E52" s="49">
        <f>LE_ZAF!C4</f>
        <v>19.060728508167902</v>
      </c>
      <c r="G52" s="19" t="s">
        <v>453</v>
      </c>
      <c r="H52" s="46">
        <f>LE_BRA!AD4</f>
        <v>19.585418726440412</v>
      </c>
      <c r="I52" s="61">
        <f>LE_IND!AD4</f>
        <v>19.363233951886777</v>
      </c>
      <c r="J52" s="49">
        <f>LE_ZAF!AD4</f>
        <v>18.935661428289794</v>
      </c>
      <c r="L52" s="19" t="s">
        <v>853</v>
      </c>
      <c r="M52" s="46">
        <f>C52-H52</f>
        <v>7.1817713303936159E-2</v>
      </c>
      <c r="N52" s="61">
        <f>D52-I52</f>
        <v>8.7304824391587488E-2</v>
      </c>
      <c r="O52" s="49">
        <f>E52-J52</f>
        <v>0.12506707987810728</v>
      </c>
    </row>
    <row r="53" spans="1:15" x14ac:dyDescent="0.3">
      <c r="B53" s="20" t="s">
        <v>54</v>
      </c>
      <c r="C53" s="47">
        <f>LE_BRA!C5</f>
        <v>19.464499071997231</v>
      </c>
      <c r="D53" s="60">
        <f>LE_IND!C5</f>
        <v>19.288409294583591</v>
      </c>
      <c r="E53" s="50">
        <f>LE_ZAF!C5</f>
        <v>18.811197413613037</v>
      </c>
      <c r="G53" s="20" t="s">
        <v>454</v>
      </c>
      <c r="H53" s="47">
        <f>LE_BRA!AD5</f>
        <v>19.378275981866121</v>
      </c>
      <c r="I53" s="60">
        <f>LE_IND!AD5</f>
        <v>19.194227611308126</v>
      </c>
      <c r="J53" s="50">
        <f>LE_ZAF!AD5</f>
        <v>18.67118104107869</v>
      </c>
      <c r="L53" s="20" t="s">
        <v>854</v>
      </c>
      <c r="M53" s="47">
        <f t="shared" ref="M53:O112" si="0">C53-H53</f>
        <v>8.6223090131110069E-2</v>
      </c>
      <c r="N53" s="60">
        <f t="shared" si="0"/>
        <v>9.4181683275465389E-2</v>
      </c>
      <c r="O53" s="50">
        <f t="shared" si="0"/>
        <v>0.14001637253434751</v>
      </c>
    </row>
    <row r="54" spans="1:15" x14ac:dyDescent="0.3">
      <c r="B54" s="20" t="s">
        <v>55</v>
      </c>
      <c r="C54" s="47">
        <f>LE_BRA!C6</f>
        <v>19.202295364760733</v>
      </c>
      <c r="D54" s="60">
        <f>LE_IND!C6</f>
        <v>19.012866883802168</v>
      </c>
      <c r="E54" s="50">
        <f>LE_ZAF!C6</f>
        <v>18.418305286009161</v>
      </c>
      <c r="G54" s="20" t="s">
        <v>455</v>
      </c>
      <c r="H54" s="47">
        <f>LE_BRA!AD6</f>
        <v>19.095458701577215</v>
      </c>
      <c r="I54" s="60">
        <f>LE_IND!AD6</f>
        <v>18.900595386038315</v>
      </c>
      <c r="J54" s="50">
        <f>LE_ZAF!AD6</f>
        <v>18.249238152520796</v>
      </c>
      <c r="L54" s="20" t="s">
        <v>855</v>
      </c>
      <c r="M54" s="47">
        <f t="shared" si="0"/>
        <v>0.10683666318351825</v>
      </c>
      <c r="N54" s="60">
        <f t="shared" si="0"/>
        <v>0.11227149776385303</v>
      </c>
      <c r="O54" s="50">
        <f t="shared" si="0"/>
        <v>0.16906713348836533</v>
      </c>
    </row>
    <row r="55" spans="1:15" x14ac:dyDescent="0.3">
      <c r="B55" s="20" t="s">
        <v>56</v>
      </c>
      <c r="C55" s="47">
        <f>LE_BRA!C7</f>
        <v>18.899591790835569</v>
      </c>
      <c r="D55" s="60">
        <f>LE_IND!C7</f>
        <v>18.666451787684696</v>
      </c>
      <c r="E55" s="50">
        <f>LE_ZAF!C7</f>
        <v>17.923795272810292</v>
      </c>
      <c r="G55" s="20" t="s">
        <v>456</v>
      </c>
      <c r="H55" s="47">
        <f>LE_BRA!AD7</f>
        <v>18.77065047023633</v>
      </c>
      <c r="I55" s="60">
        <f>LE_IND!AD7</f>
        <v>18.531702952647471</v>
      </c>
      <c r="J55" s="50">
        <f>LE_ZAF!AD7</f>
        <v>17.718354559324798</v>
      </c>
      <c r="L55" s="20" t="s">
        <v>856</v>
      </c>
      <c r="M55" s="47">
        <f t="shared" si="0"/>
        <v>0.12894132059923891</v>
      </c>
      <c r="N55" s="60">
        <f t="shared" si="0"/>
        <v>0.13474883503722523</v>
      </c>
      <c r="O55" s="50">
        <f t="shared" si="0"/>
        <v>0.20544071348549409</v>
      </c>
    </row>
    <row r="56" spans="1:15" x14ac:dyDescent="0.3">
      <c r="B56" s="20" t="s">
        <v>57</v>
      </c>
      <c r="C56" s="47">
        <f>LE_BRA!C8</f>
        <v>18.5783767071011</v>
      </c>
      <c r="D56" s="60">
        <f>LE_IND!C8</f>
        <v>18.257282702119582</v>
      </c>
      <c r="E56" s="50">
        <f>LE_ZAF!C8</f>
        <v>17.348663796142212</v>
      </c>
      <c r="G56" s="20" t="s">
        <v>457</v>
      </c>
      <c r="H56" s="47">
        <f>LE_BRA!AD8</f>
        <v>18.429725784283733</v>
      </c>
      <c r="I56" s="60">
        <f>LE_IND!AD8</f>
        <v>18.098060605069254</v>
      </c>
      <c r="J56" s="50">
        <f>LE_ZAF!AD8</f>
        <v>17.103593757140303</v>
      </c>
      <c r="L56" s="20" t="s">
        <v>857</v>
      </c>
      <c r="M56" s="47">
        <f t="shared" si="0"/>
        <v>0.14865092281736736</v>
      </c>
      <c r="N56" s="60">
        <f t="shared" si="0"/>
        <v>0.15922209705032841</v>
      </c>
      <c r="O56" s="50">
        <f t="shared" si="0"/>
        <v>0.24507003900190938</v>
      </c>
    </row>
    <row r="57" spans="1:15" x14ac:dyDescent="0.3">
      <c r="B57" s="20" t="s">
        <v>58</v>
      </c>
      <c r="C57" s="47">
        <f>LE_BRA!C9</f>
        <v>18.198811408531373</v>
      </c>
      <c r="D57" s="60">
        <f>LE_IND!C9</f>
        <v>17.763547894261691</v>
      </c>
      <c r="E57" s="50">
        <f>LE_ZAF!C9</f>
        <v>16.706981967403429</v>
      </c>
      <c r="G57" s="20" t="s">
        <v>458</v>
      </c>
      <c r="H57" s="47">
        <f>LE_BRA!AD9</f>
        <v>18.028812101728679</v>
      </c>
      <c r="I57" s="60">
        <f>LE_IND!AD9</f>
        <v>17.576596817523846</v>
      </c>
      <c r="J57" s="50">
        <f>LE_ZAF!AD9</f>
        <v>16.422197906316644</v>
      </c>
      <c r="L57" s="20" t="s">
        <v>858</v>
      </c>
      <c r="M57" s="47">
        <f t="shared" si="0"/>
        <v>0.16999930680269415</v>
      </c>
      <c r="N57" s="60">
        <f t="shared" si="0"/>
        <v>0.18695107673784506</v>
      </c>
      <c r="O57" s="50">
        <f t="shared" si="0"/>
        <v>0.28478406108678556</v>
      </c>
    </row>
    <row r="58" spans="1:15" x14ac:dyDescent="0.3">
      <c r="B58" s="20" t="s">
        <v>59</v>
      </c>
      <c r="C58" s="47">
        <f>LE_BRA!C10</f>
        <v>17.716735741505286</v>
      </c>
      <c r="D58" s="60">
        <f>LE_IND!C10</f>
        <v>17.15485514257032</v>
      </c>
      <c r="E58" s="50">
        <f>LE_ZAF!C10</f>
        <v>16.008404847135797</v>
      </c>
      <c r="G58" s="20" t="s">
        <v>459</v>
      </c>
      <c r="H58" s="47">
        <f>LE_BRA!AD10</f>
        <v>17.519517027406369</v>
      </c>
      <c r="I58" s="60">
        <f>LE_IND!AD10</f>
        <v>16.934938442810136</v>
      </c>
      <c r="J58" s="50">
        <f>LE_ZAF!AD10</f>
        <v>15.686513208533182</v>
      </c>
      <c r="L58" s="20" t="s">
        <v>859</v>
      </c>
      <c r="M58" s="47">
        <f t="shared" si="0"/>
        <v>0.19721871409891634</v>
      </c>
      <c r="N58" s="60">
        <f t="shared" si="0"/>
        <v>0.21991669976018358</v>
      </c>
      <c r="O58" s="50">
        <f t="shared" si="0"/>
        <v>0.32189163860261516</v>
      </c>
    </row>
    <row r="59" spans="1:15" x14ac:dyDescent="0.3">
      <c r="B59" s="20" t="s">
        <v>60</v>
      </c>
      <c r="C59" s="47">
        <f>LE_BRA!C11</f>
        <v>17.127655486558407</v>
      </c>
      <c r="D59" s="60">
        <f>LE_IND!C11</f>
        <v>16.42113181727564</v>
      </c>
      <c r="E59" s="50">
        <f>LE_ZAF!C11</f>
        <v>15.265082147577669</v>
      </c>
      <c r="G59" s="20" t="s">
        <v>460</v>
      </c>
      <c r="H59" s="47">
        <f>LE_BRA!AD11</f>
        <v>16.898648007545813</v>
      </c>
      <c r="I59" s="60">
        <f>LE_IND!AD11</f>
        <v>16.164055636105196</v>
      </c>
      <c r="J59" s="50">
        <f>LE_ZAF!AD11</f>
        <v>14.911785142587508</v>
      </c>
      <c r="L59" s="20" t="s">
        <v>860</v>
      </c>
      <c r="M59" s="47">
        <f t="shared" si="0"/>
        <v>0.22900747901259422</v>
      </c>
      <c r="N59" s="60">
        <f t="shared" si="0"/>
        <v>0.25707618117044362</v>
      </c>
      <c r="O59" s="50">
        <f t="shared" si="0"/>
        <v>0.3532970049901607</v>
      </c>
    </row>
    <row r="60" spans="1:15" x14ac:dyDescent="0.3">
      <c r="B60" s="20" t="s">
        <v>61</v>
      </c>
      <c r="C60" s="47">
        <f>LE_BRA!C12</f>
        <v>16.417156640640009</v>
      </c>
      <c r="D60" s="60">
        <f>LE_IND!C12</f>
        <v>15.546253708828889</v>
      </c>
      <c r="E60" s="50">
        <f>LE_ZAF!C12</f>
        <v>14.470708217693439</v>
      </c>
      <c r="G60" s="20" t="s">
        <v>461</v>
      </c>
      <c r="H60" s="47">
        <f>LE_BRA!AD12</f>
        <v>16.152170685209743</v>
      </c>
      <c r="I60" s="60">
        <f>LE_IND!AD12</f>
        <v>15.248488824683491</v>
      </c>
      <c r="J60" s="50">
        <f>LE_ZAF!AD12</f>
        <v>14.093143538068906</v>
      </c>
      <c r="L60" s="20" t="s">
        <v>861</v>
      </c>
      <c r="M60" s="47">
        <f t="shared" si="0"/>
        <v>0.26498595543026582</v>
      </c>
      <c r="N60" s="60">
        <f t="shared" si="0"/>
        <v>0.2977648841453977</v>
      </c>
      <c r="O60" s="50">
        <f t="shared" si="0"/>
        <v>0.37756467962453222</v>
      </c>
    </row>
    <row r="61" spans="1:15" x14ac:dyDescent="0.3">
      <c r="B61" s="20" t="s">
        <v>62</v>
      </c>
      <c r="C61" s="47">
        <f>LE_BRA!C13</f>
        <v>15.574999848184765</v>
      </c>
      <c r="D61" s="60">
        <f>LE_IND!C13</f>
        <v>14.511402278813158</v>
      </c>
      <c r="E61" s="50">
        <f>LE_ZAF!C13</f>
        <v>13.566115606765432</v>
      </c>
      <c r="G61" s="20" t="s">
        <v>462</v>
      </c>
      <c r="H61" s="47">
        <f>LE_BRA!AD13</f>
        <v>15.271065096654807</v>
      </c>
      <c r="I61" s="60">
        <f>LE_IND!AD13</f>
        <v>14.170059868204437</v>
      </c>
      <c r="J61" s="50">
        <f>LE_ZAF!AD13</f>
        <v>13.167266207210103</v>
      </c>
      <c r="L61" s="20" t="s">
        <v>862</v>
      </c>
      <c r="M61" s="47">
        <f t="shared" si="0"/>
        <v>0.30393475152995819</v>
      </c>
      <c r="N61" s="60">
        <f t="shared" si="0"/>
        <v>0.34134241060872128</v>
      </c>
      <c r="O61" s="50">
        <f t="shared" si="0"/>
        <v>0.3988493995553295</v>
      </c>
    </row>
    <row r="62" spans="1:15" x14ac:dyDescent="0.3">
      <c r="B62" s="20" t="s">
        <v>63</v>
      </c>
      <c r="C62" s="47">
        <f>LE_BRA!C14</f>
        <v>14.601757501547462</v>
      </c>
      <c r="D62" s="60">
        <f>LE_IND!C14</f>
        <v>13.331820225698682</v>
      </c>
      <c r="E62" s="50">
        <f>LE_ZAF!C14</f>
        <v>12.529841683257896</v>
      </c>
      <c r="G62" s="20" t="s">
        <v>463</v>
      </c>
      <c r="H62" s="47">
        <f>LE_BRA!AD14</f>
        <v>14.258703936205277</v>
      </c>
      <c r="I62" s="60">
        <f>LE_IND!AD14</f>
        <v>12.948633097536527</v>
      </c>
      <c r="J62" s="50">
        <f>LE_ZAF!AD14</f>
        <v>12.113288945714334</v>
      </c>
      <c r="L62" s="20" t="s">
        <v>863</v>
      </c>
      <c r="M62" s="47">
        <f t="shared" si="0"/>
        <v>0.3430535653421849</v>
      </c>
      <c r="N62" s="60">
        <f t="shared" si="0"/>
        <v>0.38318712816215417</v>
      </c>
      <c r="O62" s="50">
        <f t="shared" si="0"/>
        <v>0.41655273754356159</v>
      </c>
    </row>
    <row r="63" spans="1:15" x14ac:dyDescent="0.3">
      <c r="B63" s="20" t="s">
        <v>64</v>
      </c>
      <c r="C63" s="47">
        <f>LE_BRA!C15</f>
        <v>13.485549091968897</v>
      </c>
      <c r="D63" s="60">
        <f>LE_IND!C15</f>
        <v>12.032751830112323</v>
      </c>
      <c r="E63" s="50">
        <f>LE_ZAF!C15</f>
        <v>11.334560903178117</v>
      </c>
      <c r="G63" s="20" t="s">
        <v>464</v>
      </c>
      <c r="H63" s="47">
        <f>LE_BRA!AD15</f>
        <v>13.104664902746183</v>
      </c>
      <c r="I63" s="60">
        <f>LE_IND!AD15</f>
        <v>11.614807994271368</v>
      </c>
      <c r="J63" s="50">
        <f>LE_ZAF!AD15</f>
        <v>10.904145440919368</v>
      </c>
      <c r="L63" s="20" t="s">
        <v>864</v>
      </c>
      <c r="M63" s="47">
        <f t="shared" si="0"/>
        <v>0.38088418922271394</v>
      </c>
      <c r="N63" s="60">
        <f t="shared" si="0"/>
        <v>0.41794383584095485</v>
      </c>
      <c r="O63" s="50">
        <f t="shared" si="0"/>
        <v>0.4304154622587486</v>
      </c>
    </row>
    <row r="64" spans="1:15" x14ac:dyDescent="0.3">
      <c r="B64" s="20" t="s">
        <v>65</v>
      </c>
      <c r="C64" s="47">
        <f>LE_BRA!C16</f>
        <v>12.231404728328537</v>
      </c>
      <c r="D64" s="60">
        <f>LE_IND!C16</f>
        <v>10.614729249129496</v>
      </c>
      <c r="E64" s="50">
        <f>LE_ZAF!C16</f>
        <v>9.9697066587575272</v>
      </c>
      <c r="G64" s="20" t="s">
        <v>465</v>
      </c>
      <c r="H64" s="47">
        <f>LE_BRA!AD16</f>
        <v>11.817184944581275</v>
      </c>
      <c r="I64" s="60">
        <f>LE_IND!AD16</f>
        <v>10.170906738362469</v>
      </c>
      <c r="J64" s="50">
        <f>LE_ZAF!AD16</f>
        <v>9.5308238578584703</v>
      </c>
      <c r="L64" s="20" t="s">
        <v>865</v>
      </c>
      <c r="M64" s="47">
        <f t="shared" si="0"/>
        <v>0.41421978374726187</v>
      </c>
      <c r="N64" s="60">
        <f t="shared" si="0"/>
        <v>0.44382251076702772</v>
      </c>
      <c r="O64" s="50">
        <f t="shared" si="0"/>
        <v>0.43888280089905685</v>
      </c>
    </row>
    <row r="65" spans="2:15" x14ac:dyDescent="0.3">
      <c r="B65" s="20" t="s">
        <v>66</v>
      </c>
      <c r="C65" s="47">
        <f>LE_BRA!C17</f>
        <v>10.870806991407017</v>
      </c>
      <c r="D65" s="60">
        <f>LE_IND!C17</f>
        <v>9.1104223810322686</v>
      </c>
      <c r="E65" s="50">
        <f>LE_ZAF!C17</f>
        <v>8.4797141949118</v>
      </c>
      <c r="G65" s="20" t="s">
        <v>466</v>
      </c>
      <c r="H65" s="47">
        <f>LE_BRA!AD17</f>
        <v>10.433220226802398</v>
      </c>
      <c r="I65" s="60">
        <f>LE_IND!AD17</f>
        <v>8.6529905346374232</v>
      </c>
      <c r="J65" s="50">
        <f>LE_ZAF!AD17</f>
        <v>8.04356205544617</v>
      </c>
      <c r="L65" s="20" t="s">
        <v>866</v>
      </c>
      <c r="M65" s="47">
        <f t="shared" si="0"/>
        <v>0.4375867646046192</v>
      </c>
      <c r="N65" s="60">
        <f t="shared" si="0"/>
        <v>0.45743184639484546</v>
      </c>
      <c r="O65" s="50">
        <f t="shared" si="0"/>
        <v>0.43615213946563003</v>
      </c>
    </row>
    <row r="66" spans="2:15" x14ac:dyDescent="0.3">
      <c r="B66" s="20" t="s">
        <v>67</v>
      </c>
      <c r="C66" s="47">
        <f>LE_BRA!C18</f>
        <v>9.4172842834657295</v>
      </c>
      <c r="D66" s="60">
        <f>LE_IND!C18</f>
        <v>7.6061670352294</v>
      </c>
      <c r="E66" s="50">
        <f>LE_ZAF!C18</f>
        <v>6.9245446176521384</v>
      </c>
      <c r="G66" s="20" t="s">
        <v>467</v>
      </c>
      <c r="H66" s="47">
        <f>LE_BRA!AD18</f>
        <v>8.9689617461653057</v>
      </c>
      <c r="I66" s="60">
        <f>LE_IND!AD18</f>
        <v>7.1526203705049216</v>
      </c>
      <c r="J66" s="50">
        <f>LE_ZAF!AD18</f>
        <v>6.5070969202247957</v>
      </c>
      <c r="L66" s="20" t="s">
        <v>867</v>
      </c>
      <c r="M66" s="47">
        <f t="shared" si="0"/>
        <v>0.44832253730042382</v>
      </c>
      <c r="N66" s="60">
        <f t="shared" si="0"/>
        <v>0.45354666472447835</v>
      </c>
      <c r="O66" s="50">
        <f t="shared" si="0"/>
        <v>0.41744769742734267</v>
      </c>
    </row>
    <row r="67" spans="2:15" x14ac:dyDescent="0.3">
      <c r="B67" s="20" t="s">
        <v>68</v>
      </c>
      <c r="C67" s="47">
        <f>LE_BRA!C19</f>
        <v>7.2838501425546536</v>
      </c>
      <c r="D67" s="60">
        <f>LE_IND!C19</f>
        <v>5.5729236845878667</v>
      </c>
      <c r="E67" s="50">
        <f>LE_ZAF!C19</f>
        <v>4.7075711634685335</v>
      </c>
      <c r="G67" s="20" t="s">
        <v>468</v>
      </c>
      <c r="H67" s="47">
        <f>LE_BRA!AD19</f>
        <v>6.8460195269778517</v>
      </c>
      <c r="I67" s="60">
        <f>LE_IND!AD19</f>
        <v>5.1528629449740562</v>
      </c>
      <c r="J67" s="50">
        <f>LE_ZAF!AD19</f>
        <v>4.342547159896708</v>
      </c>
      <c r="L67" s="20" t="s">
        <v>868</v>
      </c>
      <c r="M67" s="47">
        <f t="shared" si="0"/>
        <v>0.43783061557680192</v>
      </c>
      <c r="N67" s="60">
        <f t="shared" si="0"/>
        <v>0.42006073961381052</v>
      </c>
      <c r="O67" s="50">
        <f t="shared" si="0"/>
        <v>0.36502400357182552</v>
      </c>
    </row>
    <row r="68" spans="2:15" x14ac:dyDescent="0.3">
      <c r="B68" s="20" t="s">
        <v>69</v>
      </c>
      <c r="C68" s="47">
        <f>LE_BRA!C20</f>
        <v>18.72977226745251</v>
      </c>
      <c r="D68" s="60">
        <f>LE_IND!C20</f>
        <v>18.535202050870883</v>
      </c>
      <c r="E68" s="50">
        <f>LE_ZAF!C20</f>
        <v>18.169725142698617</v>
      </c>
      <c r="G68" s="20" t="s">
        <v>469</v>
      </c>
      <c r="H68" s="47">
        <f>LE_BRA!AD20</f>
        <v>18.6622623804538</v>
      </c>
      <c r="I68" s="60">
        <f>LE_IND!AD20</f>
        <v>18.453250604832096</v>
      </c>
      <c r="J68" s="50">
        <f>LE_ZAF!AD20</f>
        <v>18.052346184035763</v>
      </c>
      <c r="L68" s="20" t="s">
        <v>869</v>
      </c>
      <c r="M68" s="47">
        <f t="shared" si="0"/>
        <v>6.75098869987103E-2</v>
      </c>
      <c r="N68" s="60">
        <f t="shared" si="0"/>
        <v>8.1951446038786457E-2</v>
      </c>
      <c r="O68" s="50">
        <f t="shared" si="0"/>
        <v>0.11737895866285442</v>
      </c>
    </row>
    <row r="69" spans="2:15" x14ac:dyDescent="0.3">
      <c r="B69" s="20" t="s">
        <v>70</v>
      </c>
      <c r="C69" s="47">
        <f>LE_BRA!C21</f>
        <v>18.547578205258418</v>
      </c>
      <c r="D69" s="60">
        <f>LE_IND!C21</f>
        <v>18.379940044197227</v>
      </c>
      <c r="E69" s="50">
        <f>LE_ZAF!C21</f>
        <v>17.933778015869471</v>
      </c>
      <c r="G69" s="20" t="s">
        <v>470</v>
      </c>
      <c r="H69" s="47">
        <f>LE_BRA!AD21</f>
        <v>18.466459534115348</v>
      </c>
      <c r="I69" s="60">
        <f>LE_IND!AD21</f>
        <v>18.291256847464513</v>
      </c>
      <c r="J69" s="50">
        <f>LE_ZAF!AD21</f>
        <v>17.802272562901781</v>
      </c>
      <c r="L69" s="20" t="s">
        <v>870</v>
      </c>
      <c r="M69" s="47">
        <f t="shared" si="0"/>
        <v>8.1118671143070031E-2</v>
      </c>
      <c r="N69" s="60">
        <f t="shared" si="0"/>
        <v>8.8683196732713299E-2</v>
      </c>
      <c r="O69" s="50">
        <f t="shared" si="0"/>
        <v>0.13150545296769067</v>
      </c>
    </row>
    <row r="70" spans="2:15" x14ac:dyDescent="0.3">
      <c r="B70" s="20" t="s">
        <v>71</v>
      </c>
      <c r="C70" s="47">
        <f>LE_BRA!C22</f>
        <v>18.300093737396121</v>
      </c>
      <c r="D70" s="60">
        <f>LE_IND!C22</f>
        <v>18.11872456730163</v>
      </c>
      <c r="E70" s="50">
        <f>LE_ZAF!C22</f>
        <v>17.563077653899544</v>
      </c>
      <c r="G70" s="20" t="s">
        <v>471</v>
      </c>
      <c r="H70" s="47">
        <f>LE_BRA!AD22</f>
        <v>18.1995509303588</v>
      </c>
      <c r="I70" s="60">
        <f>LE_IND!AD22</f>
        <v>18.0128871285028</v>
      </c>
      <c r="J70" s="50">
        <f>LE_ZAF!AD22</f>
        <v>17.404215913323785</v>
      </c>
      <c r="L70" s="20" t="s">
        <v>871</v>
      </c>
      <c r="M70" s="47">
        <f t="shared" si="0"/>
        <v>0.10054280703732132</v>
      </c>
      <c r="N70" s="60">
        <f t="shared" si="0"/>
        <v>0.10583743879882945</v>
      </c>
      <c r="O70" s="50">
        <f t="shared" si="0"/>
        <v>0.15886174057575886</v>
      </c>
    </row>
    <row r="71" spans="2:15" x14ac:dyDescent="0.3">
      <c r="B71" s="20" t="s">
        <v>72</v>
      </c>
      <c r="C71" s="47">
        <f>LE_BRA!C23</f>
        <v>18.013980790189969</v>
      </c>
      <c r="D71" s="60">
        <f>LE_IND!C23</f>
        <v>17.790410000906185</v>
      </c>
      <c r="E71" s="50">
        <f>LE_ZAF!C23</f>
        <v>17.096418904704656</v>
      </c>
      <c r="G71" s="20" t="s">
        <v>472</v>
      </c>
      <c r="H71" s="47">
        <f>LE_BRA!AD23</f>
        <v>17.892565478138355</v>
      </c>
      <c r="I71" s="60">
        <f>LE_IND!AD23</f>
        <v>17.663272076143365</v>
      </c>
      <c r="J71" s="50">
        <f>LE_ZAF!AD23</f>
        <v>16.903302057570148</v>
      </c>
      <c r="L71" s="20" t="s">
        <v>872</v>
      </c>
      <c r="M71" s="47">
        <f t="shared" si="0"/>
        <v>0.12141531205161371</v>
      </c>
      <c r="N71" s="60">
        <f t="shared" si="0"/>
        <v>0.12713792476282038</v>
      </c>
      <c r="O71" s="50">
        <f t="shared" si="0"/>
        <v>0.19311684713450816</v>
      </c>
    </row>
    <row r="72" spans="2:15" x14ac:dyDescent="0.3">
      <c r="B72" s="20" t="s">
        <v>73</v>
      </c>
      <c r="C72" s="47">
        <f>LE_BRA!C24</f>
        <v>17.709592364736707</v>
      </c>
      <c r="D72" s="60">
        <f>LE_IND!C24</f>
        <v>17.402248053695182</v>
      </c>
      <c r="E72" s="50">
        <f>LE_ZAF!C24</f>
        <v>16.5528995388586</v>
      </c>
      <c r="G72" s="20" t="s">
        <v>473</v>
      </c>
      <c r="H72" s="47">
        <f>LE_BRA!AD24</f>
        <v>17.56947881995929</v>
      </c>
      <c r="I72" s="60">
        <f>LE_IND!AD24</f>
        <v>17.251874960308044</v>
      </c>
      <c r="J72" s="50">
        <f>LE_ZAF!AD24</f>
        <v>16.322393456810531</v>
      </c>
      <c r="L72" s="20" t="s">
        <v>873</v>
      </c>
      <c r="M72" s="47">
        <f t="shared" si="0"/>
        <v>0.14011354477741733</v>
      </c>
      <c r="N72" s="60">
        <f t="shared" si="0"/>
        <v>0.15037309338713811</v>
      </c>
      <c r="O72" s="50">
        <f t="shared" si="0"/>
        <v>0.23050608204806977</v>
      </c>
    </row>
    <row r="73" spans="2:15" x14ac:dyDescent="0.3">
      <c r="B73" s="20" t="s">
        <v>74</v>
      </c>
      <c r="C73" s="47">
        <f>LE_BRA!C25</f>
        <v>17.349724859929498</v>
      </c>
      <c r="D73" s="60">
        <f>LE_IND!C25</f>
        <v>16.93359481174836</v>
      </c>
      <c r="E73" s="50">
        <f>LE_ZAF!C25</f>
        <v>15.944850272377616</v>
      </c>
      <c r="G73" s="20" t="s">
        <v>474</v>
      </c>
      <c r="H73" s="47">
        <f>LE_BRA!AD25</f>
        <v>17.18933616206926</v>
      </c>
      <c r="I73" s="60">
        <f>LE_IND!AD25</f>
        <v>16.756864516742617</v>
      </c>
      <c r="J73" s="50">
        <f>LE_ZAF!AD25</f>
        <v>15.676723418904315</v>
      </c>
      <c r="L73" s="20" t="s">
        <v>874</v>
      </c>
      <c r="M73" s="47">
        <f t="shared" si="0"/>
        <v>0.16038869786023824</v>
      </c>
      <c r="N73" s="60">
        <f t="shared" si="0"/>
        <v>0.17673029500574344</v>
      </c>
      <c r="O73" s="50">
        <f t="shared" si="0"/>
        <v>0.26812685347330145</v>
      </c>
    </row>
    <row r="74" spans="2:15" x14ac:dyDescent="0.3">
      <c r="B74" s="20" t="s">
        <v>75</v>
      </c>
      <c r="C74" s="47">
        <f>LE_BRA!C26</f>
        <v>16.89291927800414</v>
      </c>
      <c r="D74" s="60">
        <f>LE_IND!C26</f>
        <v>16.355731305479271</v>
      </c>
      <c r="E74" s="50">
        <f>LE_ZAF!C26</f>
        <v>15.280615115330834</v>
      </c>
      <c r="G74" s="20" t="s">
        <v>475</v>
      </c>
      <c r="H74" s="47">
        <f>LE_BRA!AD26</f>
        <v>16.706717785119963</v>
      </c>
      <c r="I74" s="60">
        <f>LE_IND!AD26</f>
        <v>16.147659306770692</v>
      </c>
      <c r="J74" s="50">
        <f>LE_ZAF!AD26</f>
        <v>14.977118103004598</v>
      </c>
      <c r="L74" s="20" t="s">
        <v>875</v>
      </c>
      <c r="M74" s="47">
        <f t="shared" si="0"/>
        <v>0.18620149288417664</v>
      </c>
      <c r="N74" s="60">
        <f t="shared" si="0"/>
        <v>0.20807199870857929</v>
      </c>
      <c r="O74" s="50">
        <f t="shared" si="0"/>
        <v>0.30349701232623616</v>
      </c>
    </row>
    <row r="75" spans="2:15" x14ac:dyDescent="0.3">
      <c r="B75" s="20" t="s">
        <v>76</v>
      </c>
      <c r="C75" s="47">
        <f>LE_BRA!C27</f>
        <v>16.334630333587459</v>
      </c>
      <c r="D75" s="60">
        <f>LE_IND!C27</f>
        <v>15.658859934158494</v>
      </c>
      <c r="E75" s="50">
        <f>LE_ZAF!C27</f>
        <v>14.571392741503278</v>
      </c>
      <c r="G75" s="20" t="s">
        <v>476</v>
      </c>
      <c r="H75" s="47">
        <f>LE_BRA!AD27</f>
        <v>16.118279277450842</v>
      </c>
      <c r="I75" s="60">
        <f>LE_IND!AD27</f>
        <v>15.415426248154766</v>
      </c>
      <c r="J75" s="50">
        <f>LE_ZAF!AD27</f>
        <v>14.237706346331189</v>
      </c>
      <c r="L75" s="20" t="s">
        <v>876</v>
      </c>
      <c r="M75" s="47">
        <f t="shared" si="0"/>
        <v>0.21635105613661665</v>
      </c>
      <c r="N75" s="60">
        <f t="shared" si="0"/>
        <v>0.24343368600372806</v>
      </c>
      <c r="O75" s="50">
        <f t="shared" si="0"/>
        <v>0.33368639517208898</v>
      </c>
    </row>
    <row r="76" spans="2:15" x14ac:dyDescent="0.3">
      <c r="B76" s="20" t="s">
        <v>77</v>
      </c>
      <c r="C76" s="47">
        <f>LE_BRA!C28</f>
        <v>15.661025502358935</v>
      </c>
      <c r="D76" s="60">
        <f>LE_IND!C28</f>
        <v>14.827546858681741</v>
      </c>
      <c r="E76" s="50">
        <f>LE_ZAF!C28</f>
        <v>13.81145862377104</v>
      </c>
      <c r="G76" s="20" t="s">
        <v>477</v>
      </c>
      <c r="H76" s="47">
        <f>LE_BRA!AD28</f>
        <v>15.410532607130365</v>
      </c>
      <c r="I76" s="60">
        <f>LE_IND!AD28</f>
        <v>14.5453536928862</v>
      </c>
      <c r="J76" s="50">
        <f>LE_ZAF!AD28</f>
        <v>13.454170101387179</v>
      </c>
      <c r="L76" s="20" t="s">
        <v>877</v>
      </c>
      <c r="M76" s="47">
        <f t="shared" si="0"/>
        <v>0.25049289522856988</v>
      </c>
      <c r="N76" s="60">
        <f t="shared" si="0"/>
        <v>0.28219316579554032</v>
      </c>
      <c r="O76" s="50">
        <f t="shared" si="0"/>
        <v>0.35728852238386111</v>
      </c>
    </row>
    <row r="77" spans="2:15" x14ac:dyDescent="0.3">
      <c r="B77" s="20" t="s">
        <v>78</v>
      </c>
      <c r="C77" s="47">
        <f>LE_BRA!C29</f>
        <v>14.862155215352031</v>
      </c>
      <c r="D77" s="60">
        <f>LE_IND!C29</f>
        <v>13.843939805908061</v>
      </c>
      <c r="E77" s="50">
        <f>LE_ZAF!C29</f>
        <v>12.946085336797072</v>
      </c>
      <c r="G77" s="20" t="s">
        <v>478</v>
      </c>
      <c r="H77" s="47">
        <f>LE_BRA!AD29</f>
        <v>14.57466634589422</v>
      </c>
      <c r="I77" s="60">
        <f>LE_IND!AD29</f>
        <v>13.520210228001117</v>
      </c>
      <c r="J77" s="50">
        <f>LE_ZAF!AD29</f>
        <v>12.567999932035235</v>
      </c>
      <c r="L77" s="20" t="s">
        <v>878</v>
      </c>
      <c r="M77" s="47">
        <f t="shared" si="0"/>
        <v>0.28748886945781038</v>
      </c>
      <c r="N77" s="60">
        <f t="shared" si="0"/>
        <v>0.32372957790694379</v>
      </c>
      <c r="O77" s="50">
        <f t="shared" si="0"/>
        <v>0.37808540476183694</v>
      </c>
    </row>
    <row r="78" spans="2:15" x14ac:dyDescent="0.3">
      <c r="B78" s="20" t="s">
        <v>79</v>
      </c>
      <c r="C78" s="47">
        <f>LE_BRA!C30</f>
        <v>13.938142707253087</v>
      </c>
      <c r="D78" s="60">
        <f>LE_IND!C30</f>
        <v>12.722079460348969</v>
      </c>
      <c r="E78" s="50">
        <f>LE_ZAF!C30</f>
        <v>11.955347123255368</v>
      </c>
      <c r="G78" s="20" t="s">
        <v>479</v>
      </c>
      <c r="H78" s="47">
        <f>LE_BRA!AD30</f>
        <v>13.61342963928441</v>
      </c>
      <c r="I78" s="60">
        <f>LE_IND!AD30</f>
        <v>12.358398516587471</v>
      </c>
      <c r="J78" s="50">
        <f>LE_ZAF!AD30</f>
        <v>11.559893831153135</v>
      </c>
      <c r="L78" s="20" t="s">
        <v>879</v>
      </c>
      <c r="M78" s="47">
        <f t="shared" si="0"/>
        <v>0.32471306796867694</v>
      </c>
      <c r="N78" s="60">
        <f t="shared" si="0"/>
        <v>0.36368094376149784</v>
      </c>
      <c r="O78" s="50">
        <f t="shared" si="0"/>
        <v>0.39545329210223379</v>
      </c>
    </row>
    <row r="79" spans="2:15" x14ac:dyDescent="0.3">
      <c r="B79" s="20" t="s">
        <v>80</v>
      </c>
      <c r="C79" s="47">
        <f>LE_BRA!C31</f>
        <v>12.877390244194904</v>
      </c>
      <c r="D79" s="60">
        <f>LE_IND!C31</f>
        <v>11.485417332356436</v>
      </c>
      <c r="E79" s="50">
        <f>LE_ZAF!C31</f>
        <v>10.813608017511141</v>
      </c>
      <c r="G79" s="20" t="s">
        <v>480</v>
      </c>
      <c r="H79" s="47">
        <f>LE_BRA!AD31</f>
        <v>12.516598824159427</v>
      </c>
      <c r="I79" s="60">
        <f>LE_IND!AD31</f>
        <v>11.088429384325901</v>
      </c>
      <c r="J79" s="50">
        <f>LE_ZAF!AD31</f>
        <v>10.404497982149207</v>
      </c>
      <c r="L79" s="20" t="s">
        <v>880</v>
      </c>
      <c r="M79" s="47">
        <f t="shared" si="0"/>
        <v>0.36079142003547737</v>
      </c>
      <c r="N79" s="60">
        <f t="shared" si="0"/>
        <v>0.39698794803053516</v>
      </c>
      <c r="O79" s="50">
        <f t="shared" si="0"/>
        <v>0.40911003536193391</v>
      </c>
    </row>
    <row r="80" spans="2:15" x14ac:dyDescent="0.3">
      <c r="B80" s="20" t="s">
        <v>81</v>
      </c>
      <c r="C80" s="47">
        <f>LE_BRA!C32</f>
        <v>11.684086220260989</v>
      </c>
      <c r="D80" s="60">
        <f>LE_IND!C32</f>
        <v>10.134560385226051</v>
      </c>
      <c r="E80" s="50">
        <f>LE_ZAF!C32</f>
        <v>9.5111575813206066</v>
      </c>
      <c r="G80" s="20" t="s">
        <v>481</v>
      </c>
      <c r="H80" s="47">
        <f>LE_BRA!AD32</f>
        <v>11.291388006935238</v>
      </c>
      <c r="I80" s="60">
        <f>LE_IND!AD32</f>
        <v>9.7126577941701768</v>
      </c>
      <c r="J80" s="50">
        <f>LE_ZAF!AD32</f>
        <v>9.0936194985209031</v>
      </c>
      <c r="L80" s="20" t="s">
        <v>881</v>
      </c>
      <c r="M80" s="47">
        <f t="shared" si="0"/>
        <v>0.39269821332575106</v>
      </c>
      <c r="N80" s="60">
        <f t="shared" si="0"/>
        <v>0.4219025910558738</v>
      </c>
      <c r="O80" s="50">
        <f t="shared" si="0"/>
        <v>0.4175380827997035</v>
      </c>
    </row>
    <row r="81" spans="2:15" x14ac:dyDescent="0.3">
      <c r="B81" s="20" t="s">
        <v>82</v>
      </c>
      <c r="C81" s="47">
        <f>LE_BRA!C33</f>
        <v>10.387301818811592</v>
      </c>
      <c r="D81" s="60">
        <f>LE_IND!C33</f>
        <v>8.7003912886641519</v>
      </c>
      <c r="E81" s="50">
        <f>LE_ZAF!C33</f>
        <v>8.0900969356146213</v>
      </c>
      <c r="G81" s="20" t="s">
        <v>482</v>
      </c>
      <c r="H81" s="47">
        <f>LE_BRA!AD33</f>
        <v>9.9720447207615965</v>
      </c>
      <c r="I81" s="60">
        <f>LE_IND!AD33</f>
        <v>8.2652208583411948</v>
      </c>
      <c r="J81" s="50">
        <f>LE_ZAF!AD33</f>
        <v>7.6748735812844373</v>
      </c>
      <c r="L81" s="20" t="s">
        <v>882</v>
      </c>
      <c r="M81" s="47">
        <f t="shared" si="0"/>
        <v>0.41525709804999522</v>
      </c>
      <c r="N81" s="60">
        <f t="shared" si="0"/>
        <v>0.4351704303229571</v>
      </c>
      <c r="O81" s="50">
        <f t="shared" si="0"/>
        <v>0.41522335433018398</v>
      </c>
    </row>
    <row r="82" spans="2:15" x14ac:dyDescent="0.3">
      <c r="B82" s="20" t="s">
        <v>83</v>
      </c>
      <c r="C82" s="47">
        <f>LE_BRA!C34</f>
        <v>8.9998879913411525</v>
      </c>
      <c r="D82" s="60">
        <f>LE_IND!C34</f>
        <v>7.2648522955088524</v>
      </c>
      <c r="E82" s="50">
        <f>LE_ZAF!C34</f>
        <v>6.6070950759652547</v>
      </c>
      <c r="G82" s="20" t="s">
        <v>483</v>
      </c>
      <c r="H82" s="47">
        <f>LE_BRA!AD34</f>
        <v>8.5740143765496377</v>
      </c>
      <c r="I82" s="60">
        <f>LE_IND!AD34</f>
        <v>6.8330754337591575</v>
      </c>
      <c r="J82" s="50">
        <f>LE_ZAF!AD34</f>
        <v>6.2094477172641334</v>
      </c>
      <c r="L82" s="20" t="s">
        <v>883</v>
      </c>
      <c r="M82" s="47">
        <f t="shared" si="0"/>
        <v>0.42587361479151475</v>
      </c>
      <c r="N82" s="60">
        <f t="shared" si="0"/>
        <v>0.43177686174969487</v>
      </c>
      <c r="O82" s="50">
        <f t="shared" si="0"/>
        <v>0.39764735870112133</v>
      </c>
    </row>
    <row r="83" spans="2:15" x14ac:dyDescent="0.3">
      <c r="B83" s="20" t="s">
        <v>84</v>
      </c>
      <c r="C83" s="47">
        <f>LE_BRA!C35</f>
        <v>6.9603462886895677</v>
      </c>
      <c r="D83" s="60">
        <f>LE_IND!C35</f>
        <v>5.3228148293957078</v>
      </c>
      <c r="E83" s="50">
        <f>LE_ZAF!C35</f>
        <v>4.4931516955123278</v>
      </c>
      <c r="G83" s="20" t="s">
        <v>484</v>
      </c>
      <c r="H83" s="47">
        <f>LE_BRA!AD35</f>
        <v>6.5439301987334417</v>
      </c>
      <c r="I83" s="60">
        <f>LE_IND!AD35</f>
        <v>4.9225975667004747</v>
      </c>
      <c r="J83" s="50">
        <f>LE_ZAF!AD35</f>
        <v>4.145159795244064</v>
      </c>
      <c r="L83" s="20" t="s">
        <v>884</v>
      </c>
      <c r="M83" s="47">
        <f t="shared" si="0"/>
        <v>0.416416089956126</v>
      </c>
      <c r="N83" s="60">
        <f t="shared" si="0"/>
        <v>0.40021726269523317</v>
      </c>
      <c r="O83" s="50">
        <f t="shared" si="0"/>
        <v>0.34799190026826388</v>
      </c>
    </row>
    <row r="84" spans="2:15" x14ac:dyDescent="0.3">
      <c r="B84" s="20" t="s">
        <v>85</v>
      </c>
      <c r="C84" s="47">
        <f>LE_BRA!C36</f>
        <v>17.846090131513105</v>
      </c>
      <c r="D84" s="60">
        <f>LE_IND!C36</f>
        <v>17.662957960864478</v>
      </c>
      <c r="E84" s="50">
        <f>LE_ZAF!C36</f>
        <v>17.320413687649392</v>
      </c>
      <c r="G84" s="20" t="s">
        <v>485</v>
      </c>
      <c r="H84" s="47">
        <f>LE_BRA!AD36</f>
        <v>17.782645461864941</v>
      </c>
      <c r="I84" s="60">
        <f>LE_IND!AD36</f>
        <v>17.586052245706153</v>
      </c>
      <c r="J84" s="50">
        <f>LE_ZAF!AD36</f>
        <v>17.210286410761643</v>
      </c>
      <c r="L84" s="20" t="s">
        <v>885</v>
      </c>
      <c r="M84" s="47">
        <f t="shared" si="0"/>
        <v>6.3444669648163199E-2</v>
      </c>
      <c r="N84" s="60">
        <f t="shared" si="0"/>
        <v>7.6905715158325449E-2</v>
      </c>
      <c r="O84" s="50">
        <f t="shared" si="0"/>
        <v>0.11012727688774859</v>
      </c>
    </row>
    <row r="85" spans="2:15" x14ac:dyDescent="0.3">
      <c r="B85" s="20" t="s">
        <v>86</v>
      </c>
      <c r="C85" s="47">
        <f>LE_BRA!C37</f>
        <v>17.673878699357612</v>
      </c>
      <c r="D85" s="60">
        <f>LE_IND!C37</f>
        <v>17.514279617267992</v>
      </c>
      <c r="E85" s="50">
        <f>LE_ZAF!C37</f>
        <v>17.097333209015126</v>
      </c>
      <c r="G85" s="20" t="s">
        <v>486</v>
      </c>
      <c r="H85" s="47">
        <f>LE_BRA!AD37</f>
        <v>17.597579746911656</v>
      </c>
      <c r="I85" s="60">
        <f>LE_IND!AD37</f>
        <v>17.430789219193692</v>
      </c>
      <c r="J85" s="50">
        <f>LE_ZAF!AD37</f>
        <v>16.973859929426304</v>
      </c>
      <c r="L85" s="20" t="s">
        <v>886</v>
      </c>
      <c r="M85" s="47">
        <f t="shared" si="0"/>
        <v>7.6298952445956303E-2</v>
      </c>
      <c r="N85" s="60">
        <f t="shared" si="0"/>
        <v>8.3490398074300032E-2</v>
      </c>
      <c r="O85" s="50">
        <f t="shared" si="0"/>
        <v>0.12347327958882204</v>
      </c>
    </row>
    <row r="86" spans="2:15" x14ac:dyDescent="0.3">
      <c r="B86" s="20" t="s">
        <v>87</v>
      </c>
      <c r="C86" s="47">
        <f>LE_BRA!C38</f>
        <v>17.440314688428671</v>
      </c>
      <c r="D86" s="60">
        <f>LE_IND!C38</f>
        <v>17.266656910120428</v>
      </c>
      <c r="E86" s="50">
        <f>LE_ZAF!C38</f>
        <v>16.747617182678482</v>
      </c>
      <c r="G86" s="20" t="s">
        <v>487</v>
      </c>
      <c r="H86" s="47">
        <f>LE_BRA!AD38</f>
        <v>17.34571599620639</v>
      </c>
      <c r="I86" s="60">
        <f>LE_IND!AD38</f>
        <v>17.166900571307096</v>
      </c>
      <c r="J86" s="50">
        <f>LE_ZAF!AD38</f>
        <v>16.59838975572465</v>
      </c>
      <c r="L86" s="20" t="s">
        <v>887</v>
      </c>
      <c r="M86" s="47">
        <f t="shared" si="0"/>
        <v>9.4598692222280789E-2</v>
      </c>
      <c r="N86" s="60">
        <f t="shared" si="0"/>
        <v>9.9756338813332235E-2</v>
      </c>
      <c r="O86" s="50">
        <f t="shared" si="0"/>
        <v>0.14922742695383207</v>
      </c>
    </row>
    <row r="87" spans="2:15" x14ac:dyDescent="0.3">
      <c r="B87" s="20" t="s">
        <v>88</v>
      </c>
      <c r="C87" s="47">
        <f>LE_BRA!C39</f>
        <v>17.169908480369681</v>
      </c>
      <c r="D87" s="60">
        <f>LE_IND!C39</f>
        <v>16.955511349080123</v>
      </c>
      <c r="E87" s="50">
        <f>LE_ZAF!C39</f>
        <v>16.307296658622942</v>
      </c>
      <c r="G87" s="20" t="s">
        <v>488</v>
      </c>
      <c r="H87" s="47">
        <f>LE_BRA!AD39</f>
        <v>17.055603864839437</v>
      </c>
      <c r="I87" s="60">
        <f>LE_IND!AD39</f>
        <v>16.835571259947091</v>
      </c>
      <c r="J87" s="50">
        <f>LE_ZAF!AD39</f>
        <v>16.125817078507296</v>
      </c>
      <c r="L87" s="20" t="s">
        <v>888</v>
      </c>
      <c r="M87" s="47">
        <f t="shared" si="0"/>
        <v>0.11430461553024429</v>
      </c>
      <c r="N87" s="60">
        <f t="shared" si="0"/>
        <v>0.11994008913303134</v>
      </c>
      <c r="O87" s="50">
        <f t="shared" si="0"/>
        <v>0.18147958011564569</v>
      </c>
    </row>
    <row r="88" spans="2:15" x14ac:dyDescent="0.3">
      <c r="B88" s="20" t="s">
        <v>89</v>
      </c>
      <c r="C88" s="47">
        <f>LE_BRA!C40</f>
        <v>16.881482932791741</v>
      </c>
      <c r="D88" s="60">
        <f>LE_IND!C40</f>
        <v>16.587291374189725</v>
      </c>
      <c r="E88" s="50">
        <f>LE_ZAF!C40</f>
        <v>15.793700954645356</v>
      </c>
      <c r="G88" s="20" t="s">
        <v>489</v>
      </c>
      <c r="H88" s="47">
        <f>LE_BRA!AD40</f>
        <v>16.749441447527143</v>
      </c>
      <c r="I88" s="60">
        <f>LE_IND!AD40</f>
        <v>16.445292836157865</v>
      </c>
      <c r="J88" s="50">
        <f>LE_ZAF!AD40</f>
        <v>15.57695235156444</v>
      </c>
      <c r="L88" s="20" t="s">
        <v>889</v>
      </c>
      <c r="M88" s="47">
        <f t="shared" si="0"/>
        <v>0.13204148526459747</v>
      </c>
      <c r="N88" s="60">
        <f t="shared" si="0"/>
        <v>0.14199853803186002</v>
      </c>
      <c r="O88" s="50">
        <f t="shared" si="0"/>
        <v>0.21674860308091581</v>
      </c>
    </row>
    <row r="89" spans="2:15" x14ac:dyDescent="0.3">
      <c r="B89" s="20" t="s">
        <v>90</v>
      </c>
      <c r="C89" s="47">
        <f>LE_BRA!C41</f>
        <v>16.540310271149949</v>
      </c>
      <c r="D89" s="60">
        <f>LE_IND!C41</f>
        <v>16.142459425345407</v>
      </c>
      <c r="E89" s="50">
        <f>LE_ZAF!C41</f>
        <v>15.217548949286055</v>
      </c>
      <c r="G89" s="20" t="s">
        <v>490</v>
      </c>
      <c r="H89" s="47">
        <f>LE_BRA!AD41</f>
        <v>16.389014949222332</v>
      </c>
      <c r="I89" s="60">
        <f>LE_IND!AD41</f>
        <v>15.975408831152226</v>
      </c>
      <c r="J89" s="50">
        <f>LE_ZAF!AD41</f>
        <v>14.965165696095589</v>
      </c>
      <c r="L89" s="20" t="s">
        <v>890</v>
      </c>
      <c r="M89" s="47">
        <f t="shared" si="0"/>
        <v>0.1512953219276163</v>
      </c>
      <c r="N89" s="60">
        <f t="shared" si="0"/>
        <v>0.16705059419318147</v>
      </c>
      <c r="O89" s="50">
        <f t="shared" si="0"/>
        <v>0.25238325319046595</v>
      </c>
    </row>
    <row r="90" spans="2:15" x14ac:dyDescent="0.3">
      <c r="B90" s="20" t="s">
        <v>91</v>
      </c>
      <c r="C90" s="47">
        <f>LE_BRA!C42</f>
        <v>16.10747678372476</v>
      </c>
      <c r="D90" s="60">
        <f>LE_IND!C42</f>
        <v>15.593879766007705</v>
      </c>
      <c r="E90" s="50">
        <f>LE_ZAF!C42</f>
        <v>14.585971611612166</v>
      </c>
      <c r="G90" s="20" t="s">
        <v>491</v>
      </c>
      <c r="H90" s="47">
        <f>LE_BRA!AD42</f>
        <v>15.931705441093305</v>
      </c>
      <c r="I90" s="60">
        <f>LE_IND!AD42</f>
        <v>15.397032769157958</v>
      </c>
      <c r="J90" s="50">
        <f>LE_ZAF!AD42</f>
        <v>14.299873916146469</v>
      </c>
      <c r="L90" s="20" t="s">
        <v>891</v>
      </c>
      <c r="M90" s="47">
        <f t="shared" si="0"/>
        <v>0.17577134263145489</v>
      </c>
      <c r="N90" s="60">
        <f t="shared" si="0"/>
        <v>0.1968469968497466</v>
      </c>
      <c r="O90" s="50">
        <f t="shared" si="0"/>
        <v>0.2860976954656973</v>
      </c>
    </row>
    <row r="91" spans="2:15" x14ac:dyDescent="0.3">
      <c r="B91" s="20" t="s">
        <v>92</v>
      </c>
      <c r="C91" s="47">
        <f>LE_BRA!C43</f>
        <v>15.57840096162125</v>
      </c>
      <c r="D91" s="60">
        <f>LE_IND!C43</f>
        <v>14.93202612309673</v>
      </c>
      <c r="E91" s="50">
        <f>LE_ZAF!C43</f>
        <v>13.909277694310866</v>
      </c>
      <c r="G91" s="20" t="s">
        <v>492</v>
      </c>
      <c r="H91" s="47">
        <f>LE_BRA!AD43</f>
        <v>15.374038050096503</v>
      </c>
      <c r="I91" s="60">
        <f>LE_IND!AD43</f>
        <v>14.701529608649887</v>
      </c>
      <c r="J91" s="50">
        <f>LE_ZAF!AD43</f>
        <v>13.594158755366516</v>
      </c>
      <c r="L91" s="20" t="s">
        <v>892</v>
      </c>
      <c r="M91" s="47">
        <f t="shared" si="0"/>
        <v>0.20436291152474695</v>
      </c>
      <c r="N91" s="60">
        <f t="shared" si="0"/>
        <v>0.23049651444684294</v>
      </c>
      <c r="O91" s="50">
        <f t="shared" si="0"/>
        <v>0.31511893894434984</v>
      </c>
    </row>
    <row r="92" spans="2:15" x14ac:dyDescent="0.3">
      <c r="B92" s="20" t="s">
        <v>93</v>
      </c>
      <c r="C92" s="47">
        <f>LE_BRA!C44</f>
        <v>14.93980891881912</v>
      </c>
      <c r="D92" s="60">
        <f>LE_IND!C44</f>
        <v>14.142125588605257</v>
      </c>
      <c r="E92" s="50">
        <f>LE_ZAF!C44</f>
        <v>13.182286650119806</v>
      </c>
      <c r="G92" s="20" t="s">
        <v>493</v>
      </c>
      <c r="H92" s="47">
        <f>LE_BRA!AD44</f>
        <v>14.703050648895536</v>
      </c>
      <c r="I92" s="60">
        <f>LE_IND!AD44</f>
        <v>13.874708648959743</v>
      </c>
      <c r="J92" s="50">
        <f>LE_ZAF!AD44</f>
        <v>12.844217706797687</v>
      </c>
      <c r="L92" s="20" t="s">
        <v>893</v>
      </c>
      <c r="M92" s="47">
        <f t="shared" si="0"/>
        <v>0.23675826992358395</v>
      </c>
      <c r="N92" s="60">
        <f t="shared" si="0"/>
        <v>0.26741693964551416</v>
      </c>
      <c r="O92" s="50">
        <f t="shared" si="0"/>
        <v>0.3380689433221189</v>
      </c>
    </row>
    <row r="93" spans="2:15" x14ac:dyDescent="0.3">
      <c r="B93" s="20" t="s">
        <v>94</v>
      </c>
      <c r="C93" s="47">
        <f>LE_BRA!C45</f>
        <v>14.182035614381169</v>
      </c>
      <c r="D93" s="60">
        <f>LE_IND!C45</f>
        <v>13.207242637415337</v>
      </c>
      <c r="E93" s="50">
        <f>LE_ZAF!C45</f>
        <v>12.354431011193093</v>
      </c>
      <c r="G93" s="20" t="s">
        <v>494</v>
      </c>
      <c r="H93" s="47">
        <f>LE_BRA!AD45</f>
        <v>13.910139858756013</v>
      </c>
      <c r="I93" s="60">
        <f>LE_IND!AD45</f>
        <v>12.900236060739173</v>
      </c>
      <c r="J93" s="50">
        <f>LE_ZAF!AD45</f>
        <v>11.996049978170969</v>
      </c>
      <c r="L93" s="20" t="s">
        <v>894</v>
      </c>
      <c r="M93" s="47">
        <f t="shared" si="0"/>
        <v>0.271895755625156</v>
      </c>
      <c r="N93" s="60">
        <f t="shared" si="0"/>
        <v>0.30700657667616404</v>
      </c>
      <c r="O93" s="50">
        <f t="shared" si="0"/>
        <v>0.35838103302212332</v>
      </c>
    </row>
    <row r="94" spans="2:15" x14ac:dyDescent="0.3">
      <c r="B94" s="20" t="s">
        <v>95</v>
      </c>
      <c r="C94" s="47">
        <f>LE_BRA!C46</f>
        <v>13.304794321200998</v>
      </c>
      <c r="D94" s="60">
        <f>LE_IND!C46</f>
        <v>12.140293612642308</v>
      </c>
      <c r="E94" s="50">
        <f>LE_ZAF!C46</f>
        <v>11.407226687737939</v>
      </c>
      <c r="G94" s="20" t="s">
        <v>495</v>
      </c>
      <c r="H94" s="47">
        <f>LE_BRA!AD46</f>
        <v>12.997480293052615</v>
      </c>
      <c r="I94" s="60">
        <f>LE_IND!AD46</f>
        <v>11.795144359392104</v>
      </c>
      <c r="J94" s="50">
        <f>LE_ZAF!AD46</f>
        <v>11.031817335842133</v>
      </c>
      <c r="L94" s="20" t="s">
        <v>895</v>
      </c>
      <c r="M94" s="47">
        <f t="shared" si="0"/>
        <v>0.30731402814838304</v>
      </c>
      <c r="N94" s="60">
        <f t="shared" si="0"/>
        <v>0.34514925325020407</v>
      </c>
      <c r="O94" s="50">
        <f t="shared" si="0"/>
        <v>0.37540935189580615</v>
      </c>
    </row>
    <row r="95" spans="2:15" x14ac:dyDescent="0.3">
      <c r="B95" s="20" t="s">
        <v>96</v>
      </c>
      <c r="C95" s="47">
        <f>LE_BRA!C47</f>
        <v>12.296767197777291</v>
      </c>
      <c r="D95" s="60">
        <f>LE_IND!C47</f>
        <v>10.963047764469978</v>
      </c>
      <c r="E95" s="50">
        <f>LE_ZAF!C47</f>
        <v>10.316629520482905</v>
      </c>
      <c r="G95" s="20" t="s">
        <v>496</v>
      </c>
      <c r="H95" s="47">
        <f>LE_BRA!AD47</f>
        <v>11.955048275143804</v>
      </c>
      <c r="I95" s="60">
        <f>LE_IND!AD47</f>
        <v>10.585981835397725</v>
      </c>
      <c r="J95" s="50">
        <f>LE_ZAF!AD47</f>
        <v>9.9277781217903858</v>
      </c>
      <c r="L95" s="20" t="s">
        <v>896</v>
      </c>
      <c r="M95" s="47">
        <f t="shared" si="0"/>
        <v>0.34171892263348624</v>
      </c>
      <c r="N95" s="60">
        <f t="shared" si="0"/>
        <v>0.37706592907225378</v>
      </c>
      <c r="O95" s="50">
        <f t="shared" si="0"/>
        <v>0.38885139869251972</v>
      </c>
    </row>
    <row r="96" spans="2:15" x14ac:dyDescent="0.3">
      <c r="B96" s="20" t="s">
        <v>97</v>
      </c>
      <c r="C96" s="47">
        <f>LE_BRA!C48</f>
        <v>11.161363946051214</v>
      </c>
      <c r="D96" s="60">
        <f>LE_IND!C48</f>
        <v>9.6761773566099869</v>
      </c>
      <c r="E96" s="50">
        <f>LE_ZAF!C48</f>
        <v>9.0737277572278945</v>
      </c>
      <c r="G96" s="20" t="s">
        <v>497</v>
      </c>
      <c r="H96" s="47">
        <f>LE_BRA!AD48</f>
        <v>10.789107175706675</v>
      </c>
      <c r="I96" s="60">
        <f>LE_IND!AD48</f>
        <v>9.2751267099203645</v>
      </c>
      <c r="J96" s="50">
        <f>LE_ZAF!AD48</f>
        <v>8.6765008736089264</v>
      </c>
      <c r="L96" s="20" t="s">
        <v>897</v>
      </c>
      <c r="M96" s="47">
        <f t="shared" si="0"/>
        <v>0.37225677034453852</v>
      </c>
      <c r="N96" s="60">
        <f t="shared" si="0"/>
        <v>0.40105064668962243</v>
      </c>
      <c r="O96" s="50">
        <f t="shared" si="0"/>
        <v>0.39722688361896807</v>
      </c>
    </row>
    <row r="97" spans="2:15" x14ac:dyDescent="0.3">
      <c r="B97" s="20" t="s">
        <v>98</v>
      </c>
      <c r="C97" s="47">
        <f>LE_BRA!C49</f>
        <v>9.9253948029091692</v>
      </c>
      <c r="D97" s="60">
        <f>LE_IND!C49</f>
        <v>8.3088713084833046</v>
      </c>
      <c r="E97" s="50">
        <f>LE_ZAF!C49</f>
        <v>7.718408255294853</v>
      </c>
      <c r="G97" s="20" t="s">
        <v>498</v>
      </c>
      <c r="H97" s="47">
        <f>LE_BRA!AD49</f>
        <v>9.5313611849219217</v>
      </c>
      <c r="I97" s="60">
        <f>LE_IND!AD49</f>
        <v>7.8948907240247053</v>
      </c>
      <c r="J97" s="50">
        <f>LE_ZAF!AD49</f>
        <v>7.323111933727402</v>
      </c>
      <c r="L97" s="20" t="s">
        <v>898</v>
      </c>
      <c r="M97" s="47">
        <f t="shared" si="0"/>
        <v>0.39403361798724745</v>
      </c>
      <c r="N97" s="60">
        <f t="shared" si="0"/>
        <v>0.41398058445859931</v>
      </c>
      <c r="O97" s="50">
        <f t="shared" si="0"/>
        <v>0.39529632156745098</v>
      </c>
    </row>
    <row r="98" spans="2:15" x14ac:dyDescent="0.3">
      <c r="B98" s="20" t="s">
        <v>99</v>
      </c>
      <c r="C98" s="47">
        <f>LE_BRA!C50</f>
        <v>8.6010653973370026</v>
      </c>
      <c r="D98" s="60">
        <f>LE_IND!C50</f>
        <v>6.9388983836258982</v>
      </c>
      <c r="E98" s="50">
        <f>LE_ZAF!C50</f>
        <v>6.3042236784350498</v>
      </c>
      <c r="G98" s="20" t="s">
        <v>499</v>
      </c>
      <c r="H98" s="47">
        <f>LE_BRA!AD50</f>
        <v>8.1965429585731879</v>
      </c>
      <c r="I98" s="60">
        <f>LE_IND!AD50</f>
        <v>6.5278549234520558</v>
      </c>
      <c r="J98" s="50">
        <f>LE_ZAF!AD50</f>
        <v>5.9254385130730549</v>
      </c>
      <c r="L98" s="20" t="s">
        <v>899</v>
      </c>
      <c r="M98" s="47">
        <f t="shared" si="0"/>
        <v>0.40452243876381466</v>
      </c>
      <c r="N98" s="60">
        <f t="shared" si="0"/>
        <v>0.41104346017384241</v>
      </c>
      <c r="O98" s="50">
        <f t="shared" si="0"/>
        <v>0.37878516536199491</v>
      </c>
    </row>
    <row r="99" spans="2:15" x14ac:dyDescent="0.3">
      <c r="B99" s="20" t="s">
        <v>100</v>
      </c>
      <c r="C99" s="47">
        <f>LE_BRA!C51</f>
        <v>6.6512490707539049</v>
      </c>
      <c r="D99" s="60">
        <f>LE_IND!C51</f>
        <v>5.0839568871243266</v>
      </c>
      <c r="E99" s="50">
        <f>LE_ZAF!C51</f>
        <v>4.2885208953761103</v>
      </c>
      <c r="G99" s="20" t="s">
        <v>500</v>
      </c>
      <c r="H99" s="47">
        <f>LE_BRA!AD51</f>
        <v>6.2552151798144031</v>
      </c>
      <c r="I99" s="60">
        <f>LE_IND!AD51</f>
        <v>4.7026505532549994</v>
      </c>
      <c r="J99" s="50">
        <f>LE_ZAF!AD51</f>
        <v>3.9567660465928016</v>
      </c>
      <c r="L99" s="20" t="s">
        <v>900</v>
      </c>
      <c r="M99" s="47">
        <f t="shared" si="0"/>
        <v>0.39603389093950181</v>
      </c>
      <c r="N99" s="60">
        <f t="shared" si="0"/>
        <v>0.38130633386932722</v>
      </c>
      <c r="O99" s="50">
        <f t="shared" si="0"/>
        <v>0.33175484878330863</v>
      </c>
    </row>
    <row r="100" spans="2:15" x14ac:dyDescent="0.3">
      <c r="B100" s="20" t="s">
        <v>101</v>
      </c>
      <c r="C100" s="47">
        <f>LE_BRA!C52</f>
        <v>17.004122351625778</v>
      </c>
      <c r="D100" s="60">
        <f>LE_IND!C52</f>
        <v>16.831777069925177</v>
      </c>
      <c r="E100" s="50">
        <f>LE_ZAF!C52</f>
        <v>16.510841542279039</v>
      </c>
      <c r="G100" s="20" t="s">
        <v>501</v>
      </c>
      <c r="H100" s="47">
        <f>LE_BRA!AD52</f>
        <v>16.944513455072126</v>
      </c>
      <c r="I100" s="60">
        <f>LE_IND!AD52</f>
        <v>16.759626432112995</v>
      </c>
      <c r="J100" s="50">
        <f>LE_ZAF!AD52</f>
        <v>16.407553164175081</v>
      </c>
      <c r="L100" s="20" t="s">
        <v>901</v>
      </c>
      <c r="M100" s="47">
        <f t="shared" si="0"/>
        <v>5.9608896553651647E-2</v>
      </c>
      <c r="N100" s="60">
        <f t="shared" si="0"/>
        <v>7.2150637812182339E-2</v>
      </c>
      <c r="O100" s="50">
        <f t="shared" si="0"/>
        <v>0.10328837810395797</v>
      </c>
    </row>
    <row r="101" spans="2:15" x14ac:dyDescent="0.3">
      <c r="B101" s="20" t="s">
        <v>102</v>
      </c>
      <c r="C101" s="47">
        <f>LE_BRA!C53</f>
        <v>16.84136210988715</v>
      </c>
      <c r="D101" s="60">
        <f>LE_IND!C53</f>
        <v>16.689409935817842</v>
      </c>
      <c r="E101" s="50">
        <f>LE_ZAF!C53</f>
        <v>16.299947462768881</v>
      </c>
      <c r="G101" s="20" t="s">
        <v>502</v>
      </c>
      <c r="H101" s="47">
        <f>LE_BRA!AD53</f>
        <v>16.769613504292334</v>
      </c>
      <c r="I101" s="60">
        <f>LE_IND!AD53</f>
        <v>16.610823123076873</v>
      </c>
      <c r="J101" s="50">
        <f>LE_ZAF!AD53</f>
        <v>16.184053346447726</v>
      </c>
      <c r="L101" s="20" t="s">
        <v>902</v>
      </c>
      <c r="M101" s="47">
        <f t="shared" si="0"/>
        <v>7.1748605594816439E-2</v>
      </c>
      <c r="N101" s="60">
        <f t="shared" si="0"/>
        <v>7.8586812740969236E-2</v>
      </c>
      <c r="O101" s="50">
        <f t="shared" si="0"/>
        <v>0.11589411632115443</v>
      </c>
    </row>
    <row r="102" spans="2:15" x14ac:dyDescent="0.3">
      <c r="B102" s="20" t="s">
        <v>103</v>
      </c>
      <c r="C102" s="47">
        <f>LE_BRA!C54</f>
        <v>16.620962133247108</v>
      </c>
      <c r="D102" s="60">
        <f>LE_IND!C54</f>
        <v>16.454683043971958</v>
      </c>
      <c r="E102" s="50">
        <f>LE_ZAF!C54</f>
        <v>15.970072376413452</v>
      </c>
      <c r="G102" s="20" t="s">
        <v>503</v>
      </c>
      <c r="H102" s="47">
        <f>LE_BRA!AD54</f>
        <v>16.531976587562145</v>
      </c>
      <c r="I102" s="60">
        <f>LE_IND!AD54</f>
        <v>16.360673671521745</v>
      </c>
      <c r="J102" s="50">
        <f>LE_ZAF!AD54</f>
        <v>15.829938747204977</v>
      </c>
      <c r="L102" s="20" t="s">
        <v>903</v>
      </c>
      <c r="M102" s="47">
        <f t="shared" si="0"/>
        <v>8.8985545684963085E-2</v>
      </c>
      <c r="N102" s="60">
        <f t="shared" si="0"/>
        <v>9.400937245021268E-2</v>
      </c>
      <c r="O102" s="50">
        <f t="shared" si="0"/>
        <v>0.14013362920847428</v>
      </c>
    </row>
    <row r="103" spans="2:15" x14ac:dyDescent="0.3">
      <c r="B103" s="20" t="s">
        <v>104</v>
      </c>
      <c r="C103" s="47">
        <f>LE_BRA!C55</f>
        <v>16.365424949907773</v>
      </c>
      <c r="D103" s="60">
        <f>LE_IND!C55</f>
        <v>16.159822359297316</v>
      </c>
      <c r="E103" s="50">
        <f>LE_ZAF!C55</f>
        <v>15.554657219894303</v>
      </c>
      <c r="G103" s="20" t="s">
        <v>504</v>
      </c>
      <c r="H103" s="47">
        <f>LE_BRA!AD55</f>
        <v>16.257837885972037</v>
      </c>
      <c r="I103" s="60">
        <f>LE_IND!AD55</f>
        <v>16.046688876733921</v>
      </c>
      <c r="J103" s="50">
        <f>LE_ZAF!AD55</f>
        <v>15.384164921699307</v>
      </c>
      <c r="L103" s="20" t="s">
        <v>904</v>
      </c>
      <c r="M103" s="47">
        <f t="shared" si="0"/>
        <v>0.10758706393573547</v>
      </c>
      <c r="N103" s="60">
        <f t="shared" si="0"/>
        <v>0.11313348256339495</v>
      </c>
      <c r="O103" s="50">
        <f t="shared" si="0"/>
        <v>0.17049229819499523</v>
      </c>
    </row>
    <row r="104" spans="2:15" x14ac:dyDescent="0.3">
      <c r="B104" s="20" t="s">
        <v>105</v>
      </c>
      <c r="C104" s="47">
        <f>LE_BRA!C56</f>
        <v>16.092142203650916</v>
      </c>
      <c r="D104" s="60">
        <f>LE_IND!C56</f>
        <v>15.81053268909421</v>
      </c>
      <c r="E104" s="50">
        <f>LE_ZAF!C56</f>
        <v>15.069385087851321</v>
      </c>
      <c r="G104" s="20" t="s">
        <v>505</v>
      </c>
      <c r="H104" s="47">
        <f>LE_BRA!AD56</f>
        <v>15.967732042611544</v>
      </c>
      <c r="I104" s="60">
        <f>LE_IND!AD56</f>
        <v>15.676459104028558</v>
      </c>
      <c r="J104" s="50">
        <f>LE_ZAF!AD56</f>
        <v>14.865630295362864</v>
      </c>
      <c r="L104" s="20" t="s">
        <v>905</v>
      </c>
      <c r="M104" s="47">
        <f t="shared" si="0"/>
        <v>0.1244101610393713</v>
      </c>
      <c r="N104" s="60">
        <f t="shared" si="0"/>
        <v>0.13407358506565181</v>
      </c>
      <c r="O104" s="50">
        <f t="shared" si="0"/>
        <v>0.20375479248845707</v>
      </c>
    </row>
    <row r="105" spans="2:15" x14ac:dyDescent="0.3">
      <c r="B105" s="20" t="s">
        <v>106</v>
      </c>
      <c r="C105" s="47">
        <f>LE_BRA!C57</f>
        <v>15.768711806364005</v>
      </c>
      <c r="D105" s="60">
        <f>LE_IND!C57</f>
        <v>15.388324555272304</v>
      </c>
      <c r="E105" s="50">
        <f>LE_ZAF!C57</f>
        <v>14.523483501666703</v>
      </c>
      <c r="G105" s="20" t="s">
        <v>506</v>
      </c>
      <c r="H105" s="47">
        <f>LE_BRA!AD57</f>
        <v>15.626019659955274</v>
      </c>
      <c r="I105" s="60">
        <f>LE_IND!AD57</f>
        <v>15.230440622445339</v>
      </c>
      <c r="J105" s="50">
        <f>LE_ZAF!AD57</f>
        <v>14.285978418727691</v>
      </c>
      <c r="L105" s="20" t="s">
        <v>906</v>
      </c>
      <c r="M105" s="47">
        <f t="shared" si="0"/>
        <v>0.14269214640873074</v>
      </c>
      <c r="N105" s="60">
        <f t="shared" si="0"/>
        <v>0.15788393282696411</v>
      </c>
      <c r="O105" s="50">
        <f t="shared" si="0"/>
        <v>0.23750508293901262</v>
      </c>
    </row>
    <row r="106" spans="2:15" x14ac:dyDescent="0.3">
      <c r="B106" s="20" t="s">
        <v>107</v>
      </c>
      <c r="C106" s="47">
        <f>LE_BRA!C58</f>
        <v>15.358618131338858</v>
      </c>
      <c r="D106" s="60">
        <f>LE_IND!C58</f>
        <v>14.867560196845933</v>
      </c>
      <c r="E106" s="50">
        <f>LE_ZAF!C58</f>
        <v>13.922962245145568</v>
      </c>
      <c r="G106" s="20" t="s">
        <v>507</v>
      </c>
      <c r="H106" s="47">
        <f>LE_BRA!AD58</f>
        <v>15.192720283494664</v>
      </c>
      <c r="I106" s="60">
        <f>LE_IND!AD58</f>
        <v>14.681350304467003</v>
      </c>
      <c r="J106" s="50">
        <f>LE_ZAF!AD58</f>
        <v>13.653320584367238</v>
      </c>
      <c r="L106" s="20" t="s">
        <v>907</v>
      </c>
      <c r="M106" s="47">
        <f t="shared" si="0"/>
        <v>0.16589784784419415</v>
      </c>
      <c r="N106" s="60">
        <f t="shared" si="0"/>
        <v>0.18620989237892971</v>
      </c>
      <c r="O106" s="50">
        <f t="shared" si="0"/>
        <v>0.26964166077832985</v>
      </c>
    </row>
    <row r="107" spans="2:15" x14ac:dyDescent="0.3">
      <c r="B107" s="20" t="s">
        <v>108</v>
      </c>
      <c r="C107" s="47">
        <f>LE_BRA!C59</f>
        <v>14.8572570004812</v>
      </c>
      <c r="D107" s="60">
        <f>LE_IND!C59</f>
        <v>14.238980710799348</v>
      </c>
      <c r="E107" s="50">
        <f>LE_ZAF!C59</f>
        <v>13.277297689000687</v>
      </c>
      <c r="G107" s="20" t="s">
        <v>508</v>
      </c>
      <c r="H107" s="47">
        <f>LE_BRA!AD59</f>
        <v>14.664248295682281</v>
      </c>
      <c r="I107" s="60">
        <f>LE_IND!AD59</f>
        <v>14.020751878951913</v>
      </c>
      <c r="J107" s="50">
        <f>LE_ZAF!AD59</f>
        <v>12.979756999717168</v>
      </c>
      <c r="L107" s="20" t="s">
        <v>908</v>
      </c>
      <c r="M107" s="47">
        <f t="shared" si="0"/>
        <v>0.19300870479891863</v>
      </c>
      <c r="N107" s="60">
        <f t="shared" si="0"/>
        <v>0.21822883184743525</v>
      </c>
      <c r="O107" s="50">
        <f t="shared" si="0"/>
        <v>0.29754068928351884</v>
      </c>
    </row>
    <row r="108" spans="2:15" x14ac:dyDescent="0.3">
      <c r="B108" s="20" t="s">
        <v>109</v>
      </c>
      <c r="C108" s="47">
        <f>LE_BRA!C60</f>
        <v>14.251891188151792</v>
      </c>
      <c r="D108" s="60">
        <f>LE_IND!C60</f>
        <v>13.488445929245996</v>
      </c>
      <c r="E108" s="50">
        <f>LE_ZAF!C60</f>
        <v>12.581818186858071</v>
      </c>
      <c r="G108" s="20" t="s">
        <v>509</v>
      </c>
      <c r="H108" s="47">
        <f>LE_BRA!AD60</f>
        <v>14.028147767752984</v>
      </c>
      <c r="I108" s="60">
        <f>LE_IND!AD60</f>
        <v>13.23504972811774</v>
      </c>
      <c r="J108" s="50">
        <f>LE_ZAF!AD60</f>
        <v>12.261966156174861</v>
      </c>
      <c r="L108" s="20" t="s">
        <v>909</v>
      </c>
      <c r="M108" s="47">
        <f t="shared" si="0"/>
        <v>0.22374342039880801</v>
      </c>
      <c r="N108" s="60">
        <f t="shared" si="0"/>
        <v>0.25339620112825578</v>
      </c>
      <c r="O108" s="50">
        <f t="shared" si="0"/>
        <v>0.31985203068320978</v>
      </c>
    </row>
    <row r="109" spans="2:15" x14ac:dyDescent="0.3">
      <c r="B109" s="20" t="s">
        <v>110</v>
      </c>
      <c r="C109" s="47">
        <f>LE_BRA!C61</f>
        <v>13.533134800233366</v>
      </c>
      <c r="D109" s="60">
        <f>LE_IND!C61</f>
        <v>12.599890088471264</v>
      </c>
      <c r="E109" s="50">
        <f>LE_ZAF!C61</f>
        <v>11.789852404687421</v>
      </c>
      <c r="G109" s="20" t="s">
        <v>510</v>
      </c>
      <c r="H109" s="47">
        <f>LE_BRA!AD61</f>
        <v>13.276022498614326</v>
      </c>
      <c r="I109" s="60">
        <f>LE_IND!AD61</f>
        <v>12.308761002919224</v>
      </c>
      <c r="J109" s="50">
        <f>LE_ZAF!AD61</f>
        <v>11.450169407277615</v>
      </c>
      <c r="L109" s="20" t="s">
        <v>910</v>
      </c>
      <c r="M109" s="47">
        <f t="shared" si="0"/>
        <v>0.2571123016190402</v>
      </c>
      <c r="N109" s="60">
        <f t="shared" si="0"/>
        <v>0.29112908555203987</v>
      </c>
      <c r="O109" s="50">
        <f t="shared" si="0"/>
        <v>0.33968299740980612</v>
      </c>
    </row>
    <row r="110" spans="2:15" x14ac:dyDescent="0.3">
      <c r="B110" s="20" t="s">
        <v>111</v>
      </c>
      <c r="C110" s="47">
        <f>LE_BRA!C62</f>
        <v>12.700327715828832</v>
      </c>
      <c r="D110" s="60">
        <f>LE_IND!C62</f>
        <v>11.585178281108883</v>
      </c>
      <c r="E110" s="50">
        <f>LE_ZAF!C62</f>
        <v>10.884268187235012</v>
      </c>
      <c r="G110" s="20" t="s">
        <v>511</v>
      </c>
      <c r="H110" s="47">
        <f>LE_BRA!AD62</f>
        <v>12.409518432745211</v>
      </c>
      <c r="I110" s="60">
        <f>LE_IND!AD62</f>
        <v>11.257634294337723</v>
      </c>
      <c r="J110" s="50">
        <f>LE_ZAF!AD62</f>
        <v>10.527899568560509</v>
      </c>
      <c r="L110" s="20" t="s">
        <v>911</v>
      </c>
      <c r="M110" s="47">
        <f t="shared" si="0"/>
        <v>0.29080928308362175</v>
      </c>
      <c r="N110" s="60">
        <f t="shared" si="0"/>
        <v>0.32754398677115937</v>
      </c>
      <c r="O110" s="50">
        <f t="shared" si="0"/>
        <v>0.35636861867450342</v>
      </c>
    </row>
    <row r="111" spans="2:15" x14ac:dyDescent="0.3">
      <c r="B111" s="20" t="s">
        <v>112</v>
      </c>
      <c r="C111" s="47">
        <f>LE_BRA!C63</f>
        <v>11.742428843156393</v>
      </c>
      <c r="D111" s="60">
        <f>LE_IND!C63</f>
        <v>10.464501665036058</v>
      </c>
      <c r="E111" s="50">
        <f>LE_ZAF!C63</f>
        <v>9.8425208353774032</v>
      </c>
      <c r="G111" s="20" t="s">
        <v>512</v>
      </c>
      <c r="H111" s="47">
        <f>LE_BRA!AD63</f>
        <v>11.41881277029052</v>
      </c>
      <c r="I111" s="60">
        <f>LE_IND!AD63</f>
        <v>10.10637433498866</v>
      </c>
      <c r="J111" s="50">
        <f>LE_ZAF!AD63</f>
        <v>9.4729324109397464</v>
      </c>
      <c r="L111" s="20" t="s">
        <v>912</v>
      </c>
      <c r="M111" s="47">
        <f t="shared" si="0"/>
        <v>0.32361607286587279</v>
      </c>
      <c r="N111" s="60">
        <f t="shared" si="0"/>
        <v>0.35812733004739883</v>
      </c>
      <c r="O111" s="50">
        <f t="shared" si="0"/>
        <v>0.36958842443765683</v>
      </c>
    </row>
    <row r="112" spans="2:15" x14ac:dyDescent="0.3">
      <c r="B112" s="20" t="s">
        <v>113</v>
      </c>
      <c r="C112" s="47">
        <f>LE_BRA!C64</f>
        <v>10.662128336151316</v>
      </c>
      <c r="D112" s="60">
        <f>LE_IND!C64</f>
        <v>9.238589075838652</v>
      </c>
      <c r="E112" s="50">
        <f>LE_ZAF!C64</f>
        <v>8.6564433254616269</v>
      </c>
      <c r="G112" s="20" t="s">
        <v>513</v>
      </c>
      <c r="H112" s="47">
        <f>LE_BRA!AD64</f>
        <v>10.309285946464408</v>
      </c>
      <c r="I112" s="60">
        <f>LE_IND!AD64</f>
        <v>8.8573739503276361</v>
      </c>
      <c r="J112" s="50">
        <f>LE_ZAF!AD64</f>
        <v>8.2785439867802832</v>
      </c>
      <c r="L112" s="20" t="s">
        <v>913</v>
      </c>
      <c r="M112" s="47">
        <f t="shared" si="0"/>
        <v>0.35284238968690751</v>
      </c>
      <c r="N112" s="60">
        <f t="shared" si="0"/>
        <v>0.38121512551101588</v>
      </c>
      <c r="O112" s="50">
        <f t="shared" si="0"/>
        <v>0.37789933868134362</v>
      </c>
    </row>
    <row r="113" spans="2:15" x14ac:dyDescent="0.3">
      <c r="B113" s="20" t="s">
        <v>114</v>
      </c>
      <c r="C113" s="47">
        <f>LE_BRA!C65</f>
        <v>9.4841173731155539</v>
      </c>
      <c r="D113" s="60">
        <f>LE_IND!C65</f>
        <v>7.9350244133137613</v>
      </c>
      <c r="E113" s="50">
        <f>LE_ZAF!C65</f>
        <v>7.3638220601555213</v>
      </c>
      <c r="G113" s="20" t="s">
        <v>514</v>
      </c>
      <c r="H113" s="47">
        <f>LE_BRA!AD65</f>
        <v>9.1102548268963552</v>
      </c>
      <c r="I113" s="60">
        <f>LE_IND!AD65</f>
        <v>7.5412132968540586</v>
      </c>
      <c r="J113" s="50">
        <f>LE_ZAF!AD65</f>
        <v>6.9874988695300146</v>
      </c>
      <c r="L113" s="20" t="s">
        <v>914</v>
      </c>
      <c r="M113" s="47">
        <f t="shared" ref="M113:O172" si="1">C113-H113</f>
        <v>0.37386254621919868</v>
      </c>
      <c r="N113" s="60">
        <f t="shared" si="1"/>
        <v>0.39381111645970268</v>
      </c>
      <c r="O113" s="50">
        <f t="shared" si="1"/>
        <v>0.37632319062550668</v>
      </c>
    </row>
    <row r="114" spans="2:15" x14ac:dyDescent="0.3">
      <c r="B114" s="20" t="s">
        <v>115</v>
      </c>
      <c r="C114" s="47">
        <f>LE_BRA!C66</f>
        <v>8.2199869394512302</v>
      </c>
      <c r="D114" s="60">
        <f>LE_IND!C66</f>
        <v>6.6276121288728156</v>
      </c>
      <c r="E114" s="50">
        <f>LE_ZAF!C66</f>
        <v>6.015259950935758</v>
      </c>
      <c r="G114" s="20" t="s">
        <v>515</v>
      </c>
      <c r="H114" s="47">
        <f>LE_BRA!AD66</f>
        <v>7.8357707709377493</v>
      </c>
      <c r="I114" s="60">
        <f>LE_IND!AD66</f>
        <v>6.2363147274959081</v>
      </c>
      <c r="J114" s="50">
        <f>LE_ZAF!AD66</f>
        <v>5.6544432449092117</v>
      </c>
      <c r="L114" s="20" t="s">
        <v>915</v>
      </c>
      <c r="M114" s="47">
        <f t="shared" si="1"/>
        <v>0.38421616851348084</v>
      </c>
      <c r="N114" s="60">
        <f t="shared" si="1"/>
        <v>0.39129740137690749</v>
      </c>
      <c r="O114" s="50">
        <f t="shared" si="1"/>
        <v>0.36081670602654636</v>
      </c>
    </row>
    <row r="115" spans="2:15" x14ac:dyDescent="0.3">
      <c r="B115" s="20" t="s">
        <v>116</v>
      </c>
      <c r="C115" s="47">
        <f>LE_BRA!C67</f>
        <v>6.3559152606919573</v>
      </c>
      <c r="D115" s="60">
        <f>LE_IND!C67</f>
        <v>4.8558426235530989</v>
      </c>
      <c r="E115" s="50">
        <f>LE_ZAF!C67</f>
        <v>4.0932310049771603</v>
      </c>
      <c r="G115" s="20" t="s">
        <v>516</v>
      </c>
      <c r="H115" s="47">
        <f>LE_BRA!AD67</f>
        <v>5.9792804843059635</v>
      </c>
      <c r="I115" s="60">
        <f>LE_IND!AD67</f>
        <v>4.4925583293270472</v>
      </c>
      <c r="J115" s="50">
        <f>LE_ZAF!AD67</f>
        <v>3.7769552861988842</v>
      </c>
      <c r="L115" s="20" t="s">
        <v>916</v>
      </c>
      <c r="M115" s="47">
        <f t="shared" si="1"/>
        <v>0.37663477638599385</v>
      </c>
      <c r="N115" s="60">
        <f t="shared" si="1"/>
        <v>0.36328429422605168</v>
      </c>
      <c r="O115" s="50">
        <f t="shared" si="1"/>
        <v>0.31627571877827609</v>
      </c>
    </row>
    <row r="116" spans="2:15" x14ac:dyDescent="0.3">
      <c r="B116" s="20" t="s">
        <v>117</v>
      </c>
      <c r="C116" s="47">
        <f>LE_BRA!C68</f>
        <v>16.201492551433798</v>
      </c>
      <c r="D116" s="60">
        <f>LE_IND!C68</f>
        <v>16.038010561163599</v>
      </c>
      <c r="E116" s="50">
        <f>LE_ZAF!C68</f>
        <v>15.736791471099217</v>
      </c>
      <c r="G116" s="20" t="s">
        <v>517</v>
      </c>
      <c r="H116" s="47">
        <f>LE_BRA!AD68</f>
        <v>16.14545469041277</v>
      </c>
      <c r="I116" s="60">
        <f>LE_IND!AD68</f>
        <v>15.970120530549895</v>
      </c>
      <c r="J116" s="50">
        <f>LE_ZAF!AD68</f>
        <v>15.639692112617221</v>
      </c>
      <c r="L116" s="20" t="s">
        <v>917</v>
      </c>
      <c r="M116" s="47">
        <f t="shared" si="1"/>
        <v>5.603786102102859E-2</v>
      </c>
      <c r="N116" s="60">
        <f t="shared" si="1"/>
        <v>6.78900306137038E-2</v>
      </c>
      <c r="O116" s="50">
        <f t="shared" si="1"/>
        <v>9.7099358481996134E-2</v>
      </c>
    </row>
    <row r="117" spans="2:15" x14ac:dyDescent="0.3">
      <c r="B117" s="20" t="s">
        <v>118</v>
      </c>
      <c r="C117" s="47">
        <f>LE_BRA!C69</f>
        <v>16.047702758641851</v>
      </c>
      <c r="D117" s="60">
        <f>LE_IND!C69</f>
        <v>15.902002781223107</v>
      </c>
      <c r="E117" s="50">
        <f>LE_ZAF!C69</f>
        <v>15.537060207198527</v>
      </c>
      <c r="G117" s="20" t="s">
        <v>518</v>
      </c>
      <c r="H117" s="47">
        <f>LE_BRA!AD69</f>
        <v>15.980206972107306</v>
      </c>
      <c r="I117" s="60">
        <f>LE_IND!AD69</f>
        <v>15.827869956484962</v>
      </c>
      <c r="J117" s="50">
        <f>LE_ZAF!AD69</f>
        <v>15.428019265663448</v>
      </c>
      <c r="L117" s="20" t="s">
        <v>918</v>
      </c>
      <c r="M117" s="47">
        <f t="shared" si="1"/>
        <v>6.7495786534545132E-2</v>
      </c>
      <c r="N117" s="60">
        <f t="shared" si="1"/>
        <v>7.4132824738144976E-2</v>
      </c>
      <c r="O117" s="50">
        <f t="shared" si="1"/>
        <v>0.10904094153507948</v>
      </c>
    </row>
    <row r="118" spans="2:15" x14ac:dyDescent="0.3">
      <c r="B118" s="20" t="s">
        <v>119</v>
      </c>
      <c r="C118" s="47">
        <f>LE_BRA!C70</f>
        <v>15.839694942539927</v>
      </c>
      <c r="D118" s="60">
        <f>LE_IND!C70</f>
        <v>15.679442660990947</v>
      </c>
      <c r="E118" s="50">
        <f>LE_ZAF!C70</f>
        <v>15.2254328339138</v>
      </c>
      <c r="G118" s="20" t="s">
        <v>519</v>
      </c>
      <c r="H118" s="47">
        <f>LE_BRA!AD70</f>
        <v>15.755961609946276</v>
      </c>
      <c r="I118" s="60">
        <f>LE_IND!AD70</f>
        <v>15.590681854435749</v>
      </c>
      <c r="J118" s="50">
        <f>LE_ZAF!AD70</f>
        <v>15.093532697034727</v>
      </c>
      <c r="L118" s="20" t="s">
        <v>919</v>
      </c>
      <c r="M118" s="47">
        <f t="shared" si="1"/>
        <v>8.37333325936509E-2</v>
      </c>
      <c r="N118" s="60">
        <f t="shared" si="1"/>
        <v>8.8760806555198357E-2</v>
      </c>
      <c r="O118" s="50">
        <f t="shared" si="1"/>
        <v>0.13190013687907332</v>
      </c>
    </row>
    <row r="119" spans="2:15" x14ac:dyDescent="0.3">
      <c r="B119" s="20" t="s">
        <v>120</v>
      </c>
      <c r="C119" s="47">
        <f>LE_BRA!C71</f>
        <v>15.598197606984304</v>
      </c>
      <c r="D119" s="60">
        <f>LE_IND!C71</f>
        <v>15.399929534630312</v>
      </c>
      <c r="E119" s="50">
        <f>LE_ZAF!C71</f>
        <v>14.832968269608351</v>
      </c>
      <c r="G119" s="20" t="s">
        <v>520</v>
      </c>
      <c r="H119" s="47">
        <f>LE_BRA!AD71</f>
        <v>15.49690631388232</v>
      </c>
      <c r="I119" s="60">
        <f>LE_IND!AD71</f>
        <v>15.293040042574207</v>
      </c>
      <c r="J119" s="50">
        <f>LE_ZAF!AD71</f>
        <v>14.672439449237364</v>
      </c>
      <c r="L119" s="20" t="s">
        <v>920</v>
      </c>
      <c r="M119" s="47">
        <f t="shared" si="1"/>
        <v>0.10129129310198337</v>
      </c>
      <c r="N119" s="60">
        <f t="shared" si="1"/>
        <v>0.10688949205610498</v>
      </c>
      <c r="O119" s="50">
        <f t="shared" si="1"/>
        <v>0.16052882037098648</v>
      </c>
    </row>
    <row r="120" spans="2:15" x14ac:dyDescent="0.3">
      <c r="B120" s="20" t="s">
        <v>121</v>
      </c>
      <c r="C120" s="47">
        <f>LE_BRA!C72</f>
        <v>15.339282317190532</v>
      </c>
      <c r="D120" s="60">
        <f>LE_IND!C72</f>
        <v>15.068594563715225</v>
      </c>
      <c r="E120" s="50">
        <f>LE_ZAF!C72</f>
        <v>14.373990059958647</v>
      </c>
      <c r="G120" s="20" t="s">
        <v>521</v>
      </c>
      <c r="H120" s="47">
        <f>LE_BRA!AD72</f>
        <v>15.222040089550562</v>
      </c>
      <c r="I120" s="60">
        <f>LE_IND!AD72</f>
        <v>14.941828676324194</v>
      </c>
      <c r="J120" s="50">
        <f>LE_ZAF!AD72</f>
        <v>14.182049948515408</v>
      </c>
      <c r="L120" s="20" t="s">
        <v>921</v>
      </c>
      <c r="M120" s="47">
        <f t="shared" si="1"/>
        <v>0.11724222763997005</v>
      </c>
      <c r="N120" s="60">
        <f t="shared" si="1"/>
        <v>0.12676588739103067</v>
      </c>
      <c r="O120" s="50">
        <f t="shared" si="1"/>
        <v>0.1919401114432393</v>
      </c>
    </row>
    <row r="121" spans="2:15" x14ac:dyDescent="0.3">
      <c r="B121" s="20" t="s">
        <v>122</v>
      </c>
      <c r="C121" s="47">
        <f>LE_BRA!C73</f>
        <v>15.032661039770504</v>
      </c>
      <c r="D121" s="60">
        <f>LE_IND!C73</f>
        <v>14.667921161233007</v>
      </c>
      <c r="E121" s="50">
        <f>LE_ZAF!C73</f>
        <v>13.856539411077929</v>
      </c>
      <c r="G121" s="20" t="s">
        <v>522</v>
      </c>
      <c r="H121" s="47">
        <f>LE_BRA!AD73</f>
        <v>14.89806174735301</v>
      </c>
      <c r="I121" s="60">
        <f>LE_IND!AD73</f>
        <v>14.518535058484639</v>
      </c>
      <c r="J121" s="50">
        <f>LE_ZAF!AD73</f>
        <v>13.632622628228514</v>
      </c>
      <c r="L121" s="20" t="s">
        <v>922</v>
      </c>
      <c r="M121" s="47">
        <f t="shared" si="1"/>
        <v>0.13459929241749435</v>
      </c>
      <c r="N121" s="60">
        <f t="shared" si="1"/>
        <v>0.14938610274836783</v>
      </c>
      <c r="O121" s="50">
        <f t="shared" si="1"/>
        <v>0.22391678284941463</v>
      </c>
    </row>
    <row r="122" spans="2:15" x14ac:dyDescent="0.3">
      <c r="B122" s="20" t="s">
        <v>123</v>
      </c>
      <c r="C122" s="47">
        <f>LE_BRA!C74</f>
        <v>14.644042581260802</v>
      </c>
      <c r="D122" s="60">
        <f>LE_IND!C74</f>
        <v>14.173644057257832</v>
      </c>
      <c r="E122" s="50">
        <f>LE_ZAF!C74</f>
        <v>13.285702988599683</v>
      </c>
      <c r="G122" s="20" t="s">
        <v>523</v>
      </c>
      <c r="H122" s="47">
        <f>LE_BRA!AD74</f>
        <v>14.487437131354167</v>
      </c>
      <c r="I122" s="60">
        <f>LE_IND!AD74</f>
        <v>13.997341722517335</v>
      </c>
      <c r="J122" s="50">
        <f>LE_ZAF!AD74</f>
        <v>13.031182683271878</v>
      </c>
      <c r="L122" s="20" t="s">
        <v>923</v>
      </c>
      <c r="M122" s="47">
        <f t="shared" si="1"/>
        <v>0.15660544990663539</v>
      </c>
      <c r="N122" s="60">
        <f t="shared" si="1"/>
        <v>0.17630233474049639</v>
      </c>
      <c r="O122" s="50">
        <f t="shared" si="1"/>
        <v>0.25452030532780512</v>
      </c>
    </row>
    <row r="123" spans="2:15" x14ac:dyDescent="0.3">
      <c r="B123" s="20" t="s">
        <v>124</v>
      </c>
      <c r="C123" s="47">
        <f>LE_BRA!C75</f>
        <v>14.168834034695232</v>
      </c>
      <c r="D123" s="60">
        <f>LE_IND!C75</f>
        <v>13.576812313045897</v>
      </c>
      <c r="E123" s="50">
        <f>LE_ZAF!C75</f>
        <v>12.670170147709307</v>
      </c>
      <c r="G123" s="20" t="s">
        <v>524</v>
      </c>
      <c r="H123" s="47">
        <f>LE_BRA!AD75</f>
        <v>13.986512568012866</v>
      </c>
      <c r="I123" s="60">
        <f>LE_IND!AD75</f>
        <v>13.370061073317014</v>
      </c>
      <c r="J123" s="50">
        <f>LE_ZAF!AD75</f>
        <v>12.388896998907308</v>
      </c>
      <c r="L123" s="20" t="s">
        <v>924</v>
      </c>
      <c r="M123" s="47">
        <f t="shared" si="1"/>
        <v>0.1823214666823656</v>
      </c>
      <c r="N123" s="60">
        <f t="shared" si="1"/>
        <v>0.20675123972888265</v>
      </c>
      <c r="O123" s="50">
        <f t="shared" si="1"/>
        <v>0.28127314880199883</v>
      </c>
    </row>
    <row r="124" spans="2:15" x14ac:dyDescent="0.3">
      <c r="B124" s="20" t="s">
        <v>125</v>
      </c>
      <c r="C124" s="47">
        <f>LE_BRA!C76</f>
        <v>13.594837778930328</v>
      </c>
      <c r="D124" s="60">
        <f>LE_IND!C76</f>
        <v>12.863900011496485</v>
      </c>
      <c r="E124" s="50">
        <f>LE_ZAF!C76</f>
        <v>12.005613488716037</v>
      </c>
      <c r="G124" s="20" t="s">
        <v>525</v>
      </c>
      <c r="H124" s="47">
        <f>LE_BRA!AD76</f>
        <v>13.383346477320899</v>
      </c>
      <c r="I124" s="60">
        <f>LE_IND!AD76</f>
        <v>12.623676394374199</v>
      </c>
      <c r="J124" s="50">
        <f>LE_ZAF!AD76</f>
        <v>11.70274504825155</v>
      </c>
      <c r="L124" s="20" t="s">
        <v>925</v>
      </c>
      <c r="M124" s="47">
        <f t="shared" si="1"/>
        <v>0.21149130160942953</v>
      </c>
      <c r="N124" s="60">
        <f t="shared" si="1"/>
        <v>0.24022361712228602</v>
      </c>
      <c r="O124" s="50">
        <f t="shared" si="1"/>
        <v>0.30286844046448635</v>
      </c>
    </row>
    <row r="125" spans="2:15" x14ac:dyDescent="0.3">
      <c r="B125" s="20" t="s">
        <v>126</v>
      </c>
      <c r="C125" s="47">
        <f>LE_BRA!C77</f>
        <v>12.912965164225541</v>
      </c>
      <c r="D125" s="60">
        <f>LE_IND!C77</f>
        <v>12.019627012611288</v>
      </c>
      <c r="E125" s="50">
        <f>LE_ZAF!C77</f>
        <v>11.248690326715518</v>
      </c>
      <c r="G125" s="20" t="s">
        <v>526</v>
      </c>
      <c r="H125" s="47">
        <f>LE_BRA!AD77</f>
        <v>12.669774787699122</v>
      </c>
      <c r="I125" s="60">
        <f>LE_IND!AD77</f>
        <v>11.743466196930775</v>
      </c>
      <c r="J125" s="50">
        <f>LE_ZAF!AD77</f>
        <v>10.926546476604271</v>
      </c>
      <c r="L125" s="20" t="s">
        <v>926</v>
      </c>
      <c r="M125" s="47">
        <f t="shared" si="1"/>
        <v>0.24319037652641917</v>
      </c>
      <c r="N125" s="60">
        <f t="shared" si="1"/>
        <v>0.27616081568051243</v>
      </c>
      <c r="O125" s="50">
        <f t="shared" si="1"/>
        <v>0.32214385011124769</v>
      </c>
    </row>
    <row r="126" spans="2:15" x14ac:dyDescent="0.3">
      <c r="B126" s="20" t="s">
        <v>127</v>
      </c>
      <c r="C126" s="47">
        <f>LE_BRA!C78</f>
        <v>12.122236734245755</v>
      </c>
      <c r="D126" s="60">
        <f>LE_IND!C78</f>
        <v>11.054908072517678</v>
      </c>
      <c r="E126" s="50">
        <f>LE_ZAF!C78</f>
        <v>10.383528782126479</v>
      </c>
      <c r="G126" s="20" t="s">
        <v>527</v>
      </c>
      <c r="H126" s="47">
        <f>LE_BRA!AD78</f>
        <v>11.846979138506883</v>
      </c>
      <c r="I126" s="60">
        <f>LE_IND!AD78</f>
        <v>10.744010777363004</v>
      </c>
      <c r="J126" s="50">
        <f>LE_ZAF!AD78</f>
        <v>10.045110369824586</v>
      </c>
      <c r="L126" s="20" t="s">
        <v>927</v>
      </c>
      <c r="M126" s="47">
        <f t="shared" si="1"/>
        <v>0.27525759573887143</v>
      </c>
      <c r="N126" s="60">
        <f t="shared" si="1"/>
        <v>0.31089729515467468</v>
      </c>
      <c r="O126" s="50">
        <f t="shared" si="1"/>
        <v>0.33841841230189296</v>
      </c>
    </row>
    <row r="127" spans="2:15" x14ac:dyDescent="0.3">
      <c r="B127" s="20" t="s">
        <v>128</v>
      </c>
      <c r="C127" s="47">
        <f>LE_BRA!C79</f>
        <v>11.211923935399941</v>
      </c>
      <c r="D127" s="60">
        <f>LE_IND!C79</f>
        <v>9.9884826975642191</v>
      </c>
      <c r="E127" s="50">
        <f>LE_ZAF!C79</f>
        <v>9.38903254965979</v>
      </c>
      <c r="G127" s="20" t="s">
        <v>528</v>
      </c>
      <c r="H127" s="47">
        <f>LE_BRA!AD79</f>
        <v>10.90538022252864</v>
      </c>
      <c r="I127" s="60">
        <f>LE_IND!AD79</f>
        <v>9.6483142723355382</v>
      </c>
      <c r="J127" s="50">
        <f>LE_ZAF!AD79</f>
        <v>9.0376821276325678</v>
      </c>
      <c r="L127" s="20" t="s">
        <v>928</v>
      </c>
      <c r="M127" s="47">
        <f t="shared" si="1"/>
        <v>0.30654371287130111</v>
      </c>
      <c r="N127" s="60">
        <f t="shared" si="1"/>
        <v>0.34016842522868096</v>
      </c>
      <c r="O127" s="50">
        <f t="shared" si="1"/>
        <v>0.35135042202722211</v>
      </c>
    </row>
    <row r="128" spans="2:15" x14ac:dyDescent="0.3">
      <c r="B128" s="20" t="s">
        <v>129</v>
      </c>
      <c r="C128" s="47">
        <f>LE_BRA!C80</f>
        <v>10.18411942751092</v>
      </c>
      <c r="D128" s="60">
        <f>LE_IND!C80</f>
        <v>8.8210082353391126</v>
      </c>
      <c r="E128" s="50">
        <f>LE_ZAF!C80</f>
        <v>8.2575232561366807</v>
      </c>
      <c r="G128" s="20" t="s">
        <v>529</v>
      </c>
      <c r="H128" s="47">
        <f>LE_BRA!AD80</f>
        <v>9.8496106058497226</v>
      </c>
      <c r="I128" s="60">
        <f>LE_IND!AD80</f>
        <v>8.4586445127456376</v>
      </c>
      <c r="J128" s="50">
        <f>LE_ZAF!AD80</f>
        <v>7.8979699469366409</v>
      </c>
      <c r="L128" s="20" t="s">
        <v>929</v>
      </c>
      <c r="M128" s="47">
        <f t="shared" si="1"/>
        <v>0.33450882166119733</v>
      </c>
      <c r="N128" s="60">
        <f t="shared" si="1"/>
        <v>0.36236372259347505</v>
      </c>
      <c r="O128" s="50">
        <f t="shared" si="1"/>
        <v>0.35955330920003981</v>
      </c>
    </row>
    <row r="129" spans="2:15" x14ac:dyDescent="0.3">
      <c r="B129" s="20" t="s">
        <v>130</v>
      </c>
      <c r="C129" s="47">
        <f>LE_BRA!C81</f>
        <v>9.0615767602621133</v>
      </c>
      <c r="D129" s="60">
        <f>LE_IND!C81</f>
        <v>7.5784786377090718</v>
      </c>
      <c r="E129" s="50">
        <f>LE_ZAF!C81</f>
        <v>7.0248181058445232</v>
      </c>
      <c r="G129" s="20" t="s">
        <v>530</v>
      </c>
      <c r="H129" s="47">
        <f>LE_BRA!AD81</f>
        <v>8.7067962655183599</v>
      </c>
      <c r="I129" s="60">
        <f>LE_IND!AD81</f>
        <v>7.2038657581520074</v>
      </c>
      <c r="J129" s="50">
        <f>LE_ZAF!AD81</f>
        <v>6.6665201595626398</v>
      </c>
      <c r="L129" s="20" t="s">
        <v>930</v>
      </c>
      <c r="M129" s="47">
        <f t="shared" si="1"/>
        <v>0.35478049474375339</v>
      </c>
      <c r="N129" s="60">
        <f t="shared" si="1"/>
        <v>0.37461287955706446</v>
      </c>
      <c r="O129" s="50">
        <f t="shared" si="1"/>
        <v>0.35829794628188338</v>
      </c>
    </row>
    <row r="130" spans="2:15" x14ac:dyDescent="0.3">
      <c r="B130" s="20" t="s">
        <v>131</v>
      </c>
      <c r="C130" s="47">
        <f>LE_BRA!C82</f>
        <v>7.8552803063949614</v>
      </c>
      <c r="D130" s="60">
        <f>LE_IND!C82</f>
        <v>6.3308731231177164</v>
      </c>
      <c r="E130" s="50">
        <f>LE_ZAF!C82</f>
        <v>5.7391038142799777</v>
      </c>
      <c r="G130" s="20" t="s">
        <v>531</v>
      </c>
      <c r="H130" s="47">
        <f>LE_BRA!AD82</f>
        <v>7.4903116546547928</v>
      </c>
      <c r="I130" s="60">
        <f>LE_IND!AD82</f>
        <v>5.9583892286008018</v>
      </c>
      <c r="J130" s="50">
        <f>LE_ZAF!AD82</f>
        <v>5.3953749316930484</v>
      </c>
      <c r="L130" s="20" t="s">
        <v>931</v>
      </c>
      <c r="M130" s="47">
        <f t="shared" si="1"/>
        <v>0.36496865174016868</v>
      </c>
      <c r="N130" s="60">
        <f t="shared" si="1"/>
        <v>0.37248389451691466</v>
      </c>
      <c r="O130" s="50">
        <f t="shared" si="1"/>
        <v>0.34372888258692935</v>
      </c>
    </row>
    <row r="131" spans="2:15" x14ac:dyDescent="0.3">
      <c r="B131" s="20" t="s">
        <v>132</v>
      </c>
      <c r="C131" s="47">
        <f>LE_BRA!C83</f>
        <v>6.073812507950735</v>
      </c>
      <c r="D131" s="60">
        <f>LE_IND!C83</f>
        <v>4.6382923833876415</v>
      </c>
      <c r="E131" s="50">
        <f>LE_ZAF!C83</f>
        <v>3.9069388733235839</v>
      </c>
      <c r="G131" s="20" t="s">
        <v>532</v>
      </c>
      <c r="H131" s="47">
        <f>LE_BRA!AD83</f>
        <v>5.7156088066553243</v>
      </c>
      <c r="I131" s="60">
        <f>LE_IND!AD83</f>
        <v>4.292177884441374</v>
      </c>
      <c r="J131" s="50">
        <f>LE_ZAF!AD83</f>
        <v>3.605416270249604</v>
      </c>
      <c r="L131" s="20" t="s">
        <v>932</v>
      </c>
      <c r="M131" s="47">
        <f t="shared" si="1"/>
        <v>0.35820370129541068</v>
      </c>
      <c r="N131" s="60">
        <f t="shared" si="1"/>
        <v>0.34611449894626745</v>
      </c>
      <c r="O131" s="50">
        <f t="shared" si="1"/>
        <v>0.30152260307397993</v>
      </c>
    </row>
    <row r="132" spans="2:15" x14ac:dyDescent="0.3">
      <c r="B132" s="20" t="s">
        <v>133</v>
      </c>
      <c r="C132" s="47">
        <f>LE_BRA!C84</f>
        <v>15.436767184589421</v>
      </c>
      <c r="D132" s="60">
        <f>LE_IND!C84</f>
        <v>15.281690369973106</v>
      </c>
      <c r="E132" s="50">
        <f>LE_ZAF!C84</f>
        <v>14.999056427007833</v>
      </c>
      <c r="G132" s="20" t="s">
        <v>533</v>
      </c>
      <c r="H132" s="47">
        <f>LE_BRA!AD84</f>
        <v>15.384099363601067</v>
      </c>
      <c r="I132" s="60">
        <f>LE_IND!AD84</f>
        <v>15.217821607461779</v>
      </c>
      <c r="J132" s="50">
        <f>LE_ZAF!AD84</f>
        <v>14.907798456931495</v>
      </c>
      <c r="L132" s="20" t="s">
        <v>933</v>
      </c>
      <c r="M132" s="47">
        <f t="shared" si="1"/>
        <v>5.2667820988354208E-2</v>
      </c>
      <c r="N132" s="60">
        <f t="shared" si="1"/>
        <v>6.3868762511326338E-2</v>
      </c>
      <c r="O132" s="50">
        <f t="shared" si="1"/>
        <v>9.1257970076338069E-2</v>
      </c>
    </row>
    <row r="133" spans="2:15" x14ac:dyDescent="0.3">
      <c r="B133" s="20" t="s">
        <v>134</v>
      </c>
      <c r="C133" s="47">
        <f>LE_BRA!C85</f>
        <v>15.291467936426235</v>
      </c>
      <c r="D133" s="60">
        <f>LE_IND!C85</f>
        <v>15.151761658695261</v>
      </c>
      <c r="E133" s="50">
        <f>LE_ZAF!C85</f>
        <v>14.809909682906515</v>
      </c>
      <c r="G133" s="20" t="s">
        <v>534</v>
      </c>
      <c r="H133" s="47">
        <f>LE_BRA!AD85</f>
        <v>15.227987503263755</v>
      </c>
      <c r="I133" s="60">
        <f>LE_IND!AD85</f>
        <v>15.081839910796825</v>
      </c>
      <c r="J133" s="50">
        <f>LE_ZAF!AD85</f>
        <v>14.707340924577601</v>
      </c>
      <c r="L133" s="20" t="s">
        <v>934</v>
      </c>
      <c r="M133" s="47">
        <f t="shared" si="1"/>
        <v>6.348043316248031E-2</v>
      </c>
      <c r="N133" s="60">
        <f t="shared" si="1"/>
        <v>6.9921747898435527E-2</v>
      </c>
      <c r="O133" s="50">
        <f t="shared" si="1"/>
        <v>0.1025687583289141</v>
      </c>
    </row>
    <row r="134" spans="2:15" x14ac:dyDescent="0.3">
      <c r="B134" s="20" t="s">
        <v>135</v>
      </c>
      <c r="C134" s="47">
        <f>LE_BRA!C86</f>
        <v>15.095178875925821</v>
      </c>
      <c r="D134" s="60">
        <f>LE_IND!C86</f>
        <v>14.940746259047994</v>
      </c>
      <c r="E134" s="50">
        <f>LE_ZAF!C86</f>
        <v>14.515549865572345</v>
      </c>
      <c r="G134" s="20" t="s">
        <v>535</v>
      </c>
      <c r="H134" s="47">
        <f>LE_BRA!AD86</f>
        <v>15.016405438357783</v>
      </c>
      <c r="I134" s="60">
        <f>LE_IND!AD86</f>
        <v>14.856951032300771</v>
      </c>
      <c r="J134" s="50">
        <f>LE_ZAF!AD86</f>
        <v>14.391427722989695</v>
      </c>
      <c r="L134" s="20" t="s">
        <v>935</v>
      </c>
      <c r="M134" s="47">
        <f t="shared" si="1"/>
        <v>7.8773437568038673E-2</v>
      </c>
      <c r="N134" s="60">
        <f t="shared" si="1"/>
        <v>8.379522674722395E-2</v>
      </c>
      <c r="O134" s="50">
        <f t="shared" si="1"/>
        <v>0.12412214258264953</v>
      </c>
    </row>
    <row r="135" spans="2:15" x14ac:dyDescent="0.3">
      <c r="B135" s="20" t="s">
        <v>136</v>
      </c>
      <c r="C135" s="47">
        <f>LE_BRA!C87</f>
        <v>14.866971845797885</v>
      </c>
      <c r="D135" s="60">
        <f>LE_IND!C87</f>
        <v>14.675793170565445</v>
      </c>
      <c r="E135" s="50">
        <f>LE_ZAF!C87</f>
        <v>14.14480382650971</v>
      </c>
      <c r="G135" s="20" t="s">
        <v>536</v>
      </c>
      <c r="H135" s="47">
        <f>LE_BRA!AD87</f>
        <v>14.771628182154309</v>
      </c>
      <c r="I135" s="60">
        <f>LE_IND!AD87</f>
        <v>14.574814023731369</v>
      </c>
      <c r="J135" s="50">
        <f>LE_ZAF!AD87</f>
        <v>13.993689447221842</v>
      </c>
      <c r="L135" s="20" t="s">
        <v>936</v>
      </c>
      <c r="M135" s="47">
        <f t="shared" si="1"/>
        <v>9.5343663643575383E-2</v>
      </c>
      <c r="N135" s="60">
        <f t="shared" si="1"/>
        <v>0.10097914683407616</v>
      </c>
      <c r="O135" s="50">
        <f t="shared" si="1"/>
        <v>0.15111437928786842</v>
      </c>
    </row>
    <row r="136" spans="2:15" x14ac:dyDescent="0.3">
      <c r="B136" s="20" t="s">
        <v>137</v>
      </c>
      <c r="C136" s="47">
        <f>LE_BRA!C88</f>
        <v>14.621684065833877</v>
      </c>
      <c r="D136" s="60">
        <f>LE_IND!C88</f>
        <v>14.36150144867864</v>
      </c>
      <c r="E136" s="50">
        <f>LE_ZAF!C88</f>
        <v>13.710727808987176</v>
      </c>
      <c r="G136" s="20" t="s">
        <v>537</v>
      </c>
      <c r="H136" s="47">
        <f>LE_BRA!AD88</f>
        <v>14.511218081432784</v>
      </c>
      <c r="I136" s="60">
        <f>LE_IND!AD88</f>
        <v>14.241656656242769</v>
      </c>
      <c r="J136" s="50">
        <f>LE_ZAF!AD88</f>
        <v>13.529954816622833</v>
      </c>
      <c r="L136" s="20" t="s">
        <v>937</v>
      </c>
      <c r="M136" s="47">
        <f t="shared" si="1"/>
        <v>0.11046598440109356</v>
      </c>
      <c r="N136" s="60">
        <f t="shared" si="1"/>
        <v>0.11984479243587032</v>
      </c>
      <c r="O136" s="50">
        <f t="shared" si="1"/>
        <v>0.18077299236434285</v>
      </c>
    </row>
    <row r="137" spans="2:15" x14ac:dyDescent="0.3">
      <c r="B137" s="20" t="s">
        <v>138</v>
      </c>
      <c r="C137" s="47">
        <f>LE_BRA!C89</f>
        <v>14.331014713520872</v>
      </c>
      <c r="D137" s="60">
        <f>LE_IND!C89</f>
        <v>13.981276920435597</v>
      </c>
      <c r="E137" s="50">
        <f>LE_ZAF!C89</f>
        <v>13.220265667615285</v>
      </c>
      <c r="G137" s="20" t="s">
        <v>538</v>
      </c>
      <c r="H137" s="47">
        <f>LE_BRA!AD89</f>
        <v>14.204071527740453</v>
      </c>
      <c r="I137" s="60">
        <f>LE_IND!AD89</f>
        <v>13.839943673762919</v>
      </c>
      <c r="J137" s="50">
        <f>LE_ZAF!AD89</f>
        <v>13.009198816605283</v>
      </c>
      <c r="L137" s="20" t="s">
        <v>938</v>
      </c>
      <c r="M137" s="47">
        <f t="shared" si="1"/>
        <v>0.1269431857804193</v>
      </c>
      <c r="N137" s="60">
        <f t="shared" si="1"/>
        <v>0.14133324667267821</v>
      </c>
      <c r="O137" s="50">
        <f t="shared" si="1"/>
        <v>0.21106685101000267</v>
      </c>
    </row>
    <row r="138" spans="2:15" x14ac:dyDescent="0.3">
      <c r="B138" s="20" t="s">
        <v>139</v>
      </c>
      <c r="C138" s="47">
        <f>LE_BRA!C90</f>
        <v>13.962768971603246</v>
      </c>
      <c r="D138" s="60">
        <f>LE_IND!C90</f>
        <v>13.512154560218745</v>
      </c>
      <c r="E138" s="50">
        <f>LE_ZAF!C90</f>
        <v>12.677652053003291</v>
      </c>
      <c r="G138" s="20" t="s">
        <v>539</v>
      </c>
      <c r="H138" s="47">
        <f>LE_BRA!AD90</f>
        <v>13.814959529085408</v>
      </c>
      <c r="I138" s="60">
        <f>LE_IND!AD90</f>
        <v>13.345245923860839</v>
      </c>
      <c r="J138" s="50">
        <f>LE_ZAF!AD90</f>
        <v>12.437441672745832</v>
      </c>
      <c r="L138" s="20" t="s">
        <v>939</v>
      </c>
      <c r="M138" s="47">
        <f t="shared" si="1"/>
        <v>0.14780944251783801</v>
      </c>
      <c r="N138" s="60">
        <f t="shared" si="1"/>
        <v>0.1669086363579062</v>
      </c>
      <c r="O138" s="50">
        <f t="shared" si="1"/>
        <v>0.24021038025745867</v>
      </c>
    </row>
    <row r="139" spans="2:15" x14ac:dyDescent="0.3">
      <c r="B139" s="20" t="s">
        <v>140</v>
      </c>
      <c r="C139" s="47">
        <f>LE_BRA!C91</f>
        <v>13.512374419019272</v>
      </c>
      <c r="D139" s="60">
        <f>LE_IND!C91</f>
        <v>12.945482934540482</v>
      </c>
      <c r="E139" s="50">
        <f>LE_ZAF!C91</f>
        <v>12.09084111547433</v>
      </c>
      <c r="G139" s="20" t="s">
        <v>540</v>
      </c>
      <c r="H139" s="47">
        <f>LE_BRA!AD91</f>
        <v>13.340174742873776</v>
      </c>
      <c r="I139" s="60">
        <f>LE_IND!AD91</f>
        <v>12.749619750478336</v>
      </c>
      <c r="J139" s="50">
        <f>LE_ZAF!AD91</f>
        <v>11.82497642938354</v>
      </c>
      <c r="L139" s="20" t="s">
        <v>940</v>
      </c>
      <c r="M139" s="47">
        <f t="shared" si="1"/>
        <v>0.17219967614549603</v>
      </c>
      <c r="N139" s="60">
        <f t="shared" si="1"/>
        <v>0.19586318406214609</v>
      </c>
      <c r="O139" s="50">
        <f t="shared" si="1"/>
        <v>0.26586468609079006</v>
      </c>
    </row>
    <row r="140" spans="2:15" x14ac:dyDescent="0.3">
      <c r="B140" s="20" t="s">
        <v>141</v>
      </c>
      <c r="C140" s="47">
        <f>LE_BRA!C92</f>
        <v>12.968150468438305</v>
      </c>
      <c r="D140" s="60">
        <f>LE_IND!C92</f>
        <v>12.268323818000624</v>
      </c>
      <c r="E140" s="50">
        <f>LE_ZAF!C92</f>
        <v>11.455829361214391</v>
      </c>
      <c r="G140" s="20" t="s">
        <v>541</v>
      </c>
      <c r="H140" s="47">
        <f>LE_BRA!AD92</f>
        <v>12.768269090258116</v>
      </c>
      <c r="I140" s="60">
        <f>LE_IND!AD92</f>
        <v>12.040602860837611</v>
      </c>
      <c r="J140" s="50">
        <f>LE_ZAF!AD92</f>
        <v>11.169064787768136</v>
      </c>
      <c r="L140" s="20" t="s">
        <v>941</v>
      </c>
      <c r="M140" s="47">
        <f t="shared" si="1"/>
        <v>0.19988137818018892</v>
      </c>
      <c r="N140" s="60">
        <f t="shared" si="1"/>
        <v>0.22772095716301344</v>
      </c>
      <c r="O140" s="50">
        <f t="shared" si="1"/>
        <v>0.28676457344625561</v>
      </c>
    </row>
    <row r="141" spans="2:15" x14ac:dyDescent="0.3">
      <c r="B141" s="20" t="s">
        <v>142</v>
      </c>
      <c r="C141" s="47">
        <f>LE_BRA!C93</f>
        <v>12.321298046506595</v>
      </c>
      <c r="D141" s="60">
        <f>LE_IND!C93</f>
        <v>11.466144136054098</v>
      </c>
      <c r="E141" s="50">
        <f>LE_ZAF!C93</f>
        <v>10.732396772868599</v>
      </c>
      <c r="G141" s="20" t="s">
        <v>542</v>
      </c>
      <c r="H141" s="47">
        <f>LE_BRA!AD93</f>
        <v>12.091306766341143</v>
      </c>
      <c r="I141" s="60">
        <f>LE_IND!AD93</f>
        <v>11.204197512462708</v>
      </c>
      <c r="J141" s="50">
        <f>LE_ZAF!AD93</f>
        <v>10.426901310225714</v>
      </c>
      <c r="L141" s="20" t="s">
        <v>942</v>
      </c>
      <c r="M141" s="47">
        <f t="shared" si="1"/>
        <v>0.22999128016545178</v>
      </c>
      <c r="N141" s="60">
        <f t="shared" si="1"/>
        <v>0.26194662359139009</v>
      </c>
      <c r="O141" s="50">
        <f t="shared" si="1"/>
        <v>0.30549546264288452</v>
      </c>
    </row>
    <row r="142" spans="2:15" x14ac:dyDescent="0.3">
      <c r="B142" s="20" t="s">
        <v>143</v>
      </c>
      <c r="C142" s="47">
        <f>LE_BRA!C94</f>
        <v>11.57054848214719</v>
      </c>
      <c r="D142" s="60">
        <f>LE_IND!C94</f>
        <v>10.548970164784853</v>
      </c>
      <c r="E142" s="50">
        <f>LE_ZAF!C94</f>
        <v>9.9058525774039321</v>
      </c>
      <c r="G142" s="20" t="s">
        <v>543</v>
      </c>
      <c r="H142" s="47">
        <f>LE_BRA!AD94</f>
        <v>11.310043453883292</v>
      </c>
      <c r="I142" s="60">
        <f>LE_IND!AD94</f>
        <v>10.253889199824782</v>
      </c>
      <c r="J142" s="50">
        <f>LE_ZAF!AD94</f>
        <v>9.5844896059988756</v>
      </c>
      <c r="L142" s="20" t="s">
        <v>943</v>
      </c>
      <c r="M142" s="47">
        <f t="shared" si="1"/>
        <v>0.2605050282638981</v>
      </c>
      <c r="N142" s="60">
        <f t="shared" si="1"/>
        <v>0.29508096496007141</v>
      </c>
      <c r="O142" s="50">
        <f t="shared" si="1"/>
        <v>0.32136297140505654</v>
      </c>
    </row>
    <row r="143" spans="2:15" x14ac:dyDescent="0.3">
      <c r="B143" s="20" t="s">
        <v>144</v>
      </c>
      <c r="C143" s="47">
        <f>LE_BRA!C95</f>
        <v>10.705478868584894</v>
      </c>
      <c r="D143" s="60">
        <f>LE_IND!C95</f>
        <v>9.5341796424681515</v>
      </c>
      <c r="E143" s="50">
        <f>LE_ZAF!C95</f>
        <v>8.956463108076024</v>
      </c>
      <c r="G143" s="20" t="s">
        <v>544</v>
      </c>
      <c r="H143" s="47">
        <f>LE_BRA!AD95</f>
        <v>10.415139904315097</v>
      </c>
      <c r="I143" s="60">
        <f>LE_IND!AD95</f>
        <v>9.2110844430424539</v>
      </c>
      <c r="J143" s="50">
        <f>LE_ZAF!AD95</f>
        <v>8.6224563927918787</v>
      </c>
      <c r="L143" s="20" t="s">
        <v>944</v>
      </c>
      <c r="M143" s="47">
        <f t="shared" si="1"/>
        <v>0.29033896426979666</v>
      </c>
      <c r="N143" s="60">
        <f t="shared" si="1"/>
        <v>0.32309519942569764</v>
      </c>
      <c r="O143" s="50">
        <f t="shared" si="1"/>
        <v>0.33400671528414527</v>
      </c>
    </row>
    <row r="144" spans="2:15" x14ac:dyDescent="0.3">
      <c r="B144" s="20" t="s">
        <v>145</v>
      </c>
      <c r="C144" s="47">
        <f>LE_BRA!C96</f>
        <v>9.7276307664851061</v>
      </c>
      <c r="D144" s="60">
        <f>LE_IND!C96</f>
        <v>8.4223618123267752</v>
      </c>
      <c r="E144" s="50">
        <f>LE_ZAF!C96</f>
        <v>7.8770103211248212</v>
      </c>
      <c r="G144" s="20" t="s">
        <v>545</v>
      </c>
      <c r="H144" s="47">
        <f>LE_BRA!AD96</f>
        <v>9.4105347428778021</v>
      </c>
      <c r="I144" s="60">
        <f>LE_IND!AD96</f>
        <v>8.0779306733856533</v>
      </c>
      <c r="J144" s="50">
        <f>LE_ZAF!AD96</f>
        <v>7.5349156905694947</v>
      </c>
      <c r="L144" s="20" t="s">
        <v>945</v>
      </c>
      <c r="M144" s="47">
        <f t="shared" si="1"/>
        <v>0.31709602360730393</v>
      </c>
      <c r="N144" s="60">
        <f t="shared" si="1"/>
        <v>0.34443113894112187</v>
      </c>
      <c r="O144" s="50">
        <f t="shared" si="1"/>
        <v>0.34209463055532652</v>
      </c>
    </row>
    <row r="145" spans="2:15" x14ac:dyDescent="0.3">
      <c r="B145" s="20" t="s">
        <v>146</v>
      </c>
      <c r="C145" s="47">
        <f>LE_BRA!C97</f>
        <v>8.6579422733633873</v>
      </c>
      <c r="D145" s="60">
        <f>LE_IND!C97</f>
        <v>7.2380065587405547</v>
      </c>
      <c r="E145" s="50">
        <f>LE_ZAF!C97</f>
        <v>6.7014433107416389</v>
      </c>
      <c r="G145" s="20" t="s">
        <v>546</v>
      </c>
      <c r="H145" s="47">
        <f>LE_BRA!AD97</f>
        <v>8.3212979957159465</v>
      </c>
      <c r="I145" s="60">
        <f>LE_IND!AD97</f>
        <v>6.8816671444506987</v>
      </c>
      <c r="J145" s="50">
        <f>LE_ZAF!AD97</f>
        <v>6.3603089316258803</v>
      </c>
      <c r="L145" s="20" t="s">
        <v>946</v>
      </c>
      <c r="M145" s="47">
        <f t="shared" si="1"/>
        <v>0.33664427764744076</v>
      </c>
      <c r="N145" s="60">
        <f t="shared" si="1"/>
        <v>0.35633941428985594</v>
      </c>
      <c r="O145" s="50">
        <f t="shared" si="1"/>
        <v>0.34113437911575861</v>
      </c>
    </row>
    <row r="146" spans="2:15" x14ac:dyDescent="0.3">
      <c r="B146" s="20" t="s">
        <v>147</v>
      </c>
      <c r="C146" s="47">
        <f>LE_BRA!C98</f>
        <v>7.5068207503587541</v>
      </c>
      <c r="D146" s="60">
        <f>LE_IND!C98</f>
        <v>6.0474617019544743</v>
      </c>
      <c r="E146" s="50">
        <f>LE_ZAF!C98</f>
        <v>5.4756477020146912</v>
      </c>
      <c r="G146" s="20" t="s">
        <v>547</v>
      </c>
      <c r="H146" s="47">
        <f>LE_BRA!AD98</f>
        <v>7.1601580590056644</v>
      </c>
      <c r="I146" s="60">
        <f>LE_IND!AD98</f>
        <v>5.6928949457151292</v>
      </c>
      <c r="J146" s="50">
        <f>LE_ZAF!AD98</f>
        <v>5.1481980190935124</v>
      </c>
      <c r="L146" s="20" t="s">
        <v>947</v>
      </c>
      <c r="M146" s="47">
        <f t="shared" si="1"/>
        <v>0.34666269135308969</v>
      </c>
      <c r="N146" s="60">
        <f t="shared" si="1"/>
        <v>0.35456675623934508</v>
      </c>
      <c r="O146" s="50">
        <f t="shared" si="1"/>
        <v>0.32744968292117882</v>
      </c>
    </row>
    <row r="147" spans="2:15" x14ac:dyDescent="0.3">
      <c r="B147" s="20" t="s">
        <v>148</v>
      </c>
      <c r="C147" s="47">
        <f>LE_BRA!C99</f>
        <v>5.8042671221577766</v>
      </c>
      <c r="D147" s="60">
        <f>LE_IND!C99</f>
        <v>4.4305128466278356</v>
      </c>
      <c r="E147" s="50">
        <f>LE_ZAF!C99</f>
        <v>3.7291455158394733</v>
      </c>
      <c r="G147" s="20" t="s">
        <v>548</v>
      </c>
      <c r="H147" s="47">
        <f>LE_BRA!AD99</f>
        <v>5.463606082293869</v>
      </c>
      <c r="I147" s="60">
        <f>LE_IND!AD99</f>
        <v>4.1007611618636197</v>
      </c>
      <c r="J147" s="50">
        <f>LE_ZAF!AD99</f>
        <v>3.4416875561862099</v>
      </c>
      <c r="L147" s="20" t="s">
        <v>948</v>
      </c>
      <c r="M147" s="47">
        <f t="shared" si="1"/>
        <v>0.34066103986390761</v>
      </c>
      <c r="N147" s="60">
        <f t="shared" si="1"/>
        <v>0.3297516847642159</v>
      </c>
      <c r="O147" s="50">
        <f t="shared" si="1"/>
        <v>0.28745795965326337</v>
      </c>
    </row>
    <row r="148" spans="2:15" x14ac:dyDescent="0.3">
      <c r="B148" s="20" t="s">
        <v>149</v>
      </c>
      <c r="C148" s="47">
        <f>LE_BRA!C100</f>
        <v>14.708155460640933</v>
      </c>
      <c r="D148" s="60">
        <f>LE_IND!C100</f>
        <v>14.561049410350439</v>
      </c>
      <c r="E148" s="50">
        <f>LE_ZAF!C100</f>
        <v>14.295931537552606</v>
      </c>
      <c r="G148" s="20" t="s">
        <v>549</v>
      </c>
      <c r="H148" s="47">
        <f>LE_BRA!AD100</f>
        <v>14.658667587299764</v>
      </c>
      <c r="I148" s="60">
        <f>LE_IND!AD100</f>
        <v>14.500975600548742</v>
      </c>
      <c r="J148" s="50">
        <f>LE_ZAF!AD100</f>
        <v>14.210186093755373</v>
      </c>
      <c r="L148" s="20" t="s">
        <v>949</v>
      </c>
      <c r="M148" s="47">
        <f t="shared" si="1"/>
        <v>4.948787334116922E-2</v>
      </c>
      <c r="N148" s="60">
        <f t="shared" si="1"/>
        <v>6.0073809801696854E-2</v>
      </c>
      <c r="O148" s="50">
        <f t="shared" si="1"/>
        <v>8.5745443797232923E-2</v>
      </c>
    </row>
    <row r="149" spans="2:15" x14ac:dyDescent="0.3">
      <c r="B149" s="20" t="s">
        <v>150</v>
      </c>
      <c r="C149" s="47">
        <f>LE_BRA!C101</f>
        <v>14.57089200382172</v>
      </c>
      <c r="D149" s="60">
        <f>LE_IND!C101</f>
        <v>14.436931656733034</v>
      </c>
      <c r="E149" s="50">
        <f>LE_ZAF!C101</f>
        <v>14.116820500278177</v>
      </c>
      <c r="G149" s="20" t="s">
        <v>550</v>
      </c>
      <c r="H149" s="47">
        <f>LE_BRA!AD101</f>
        <v>14.51120225602441</v>
      </c>
      <c r="I149" s="60">
        <f>LE_IND!AD101</f>
        <v>14.370990992605654</v>
      </c>
      <c r="J149" s="50">
        <f>LE_ZAF!AD101</f>
        <v>14.020363321733919</v>
      </c>
      <c r="L149" s="20" t="s">
        <v>950</v>
      </c>
      <c r="M149" s="47">
        <f t="shared" si="1"/>
        <v>5.9689747797310844E-2</v>
      </c>
      <c r="N149" s="60">
        <f t="shared" si="1"/>
        <v>6.5940664127380089E-2</v>
      </c>
      <c r="O149" s="50">
        <f t="shared" si="1"/>
        <v>9.6457178544257616E-2</v>
      </c>
    </row>
    <row r="150" spans="2:15" x14ac:dyDescent="0.3">
      <c r="B150" s="20" t="s">
        <v>151</v>
      </c>
      <c r="C150" s="47">
        <f>LE_BRA!C102</f>
        <v>14.385684047343371</v>
      </c>
      <c r="D150" s="60">
        <f>LE_IND!C102</f>
        <v>14.236870401319043</v>
      </c>
      <c r="E150" s="50">
        <f>LE_ZAF!C102</f>
        <v>13.838799639100076</v>
      </c>
      <c r="G150" s="20" t="s">
        <v>551</v>
      </c>
      <c r="H150" s="47">
        <f>LE_BRA!AD102</f>
        <v>14.311593898299892</v>
      </c>
      <c r="I150" s="60">
        <f>LE_IND!AD102</f>
        <v>14.157772678546007</v>
      </c>
      <c r="J150" s="50">
        <f>LE_ZAF!AD102</f>
        <v>13.722024267169708</v>
      </c>
      <c r="L150" s="20" t="s">
        <v>951</v>
      </c>
      <c r="M150" s="47">
        <f t="shared" si="1"/>
        <v>7.4090149043479769E-2</v>
      </c>
      <c r="N150" s="60">
        <f t="shared" si="1"/>
        <v>7.9097722773036949E-2</v>
      </c>
      <c r="O150" s="50">
        <f t="shared" si="1"/>
        <v>0.11677537193036791</v>
      </c>
    </row>
    <row r="151" spans="2:15" x14ac:dyDescent="0.3">
      <c r="B151" s="20" t="s">
        <v>152</v>
      </c>
      <c r="C151" s="47">
        <f>LE_BRA!C103</f>
        <v>14.170057006565097</v>
      </c>
      <c r="D151" s="60">
        <f>LE_IND!C103</f>
        <v>13.985729806648971</v>
      </c>
      <c r="E151" s="50">
        <f>LE_ZAF!C103</f>
        <v>13.488604856972252</v>
      </c>
      <c r="G151" s="20" t="s">
        <v>552</v>
      </c>
      <c r="H151" s="47">
        <f>LE_BRA!AD103</f>
        <v>14.080331444881464</v>
      </c>
      <c r="I151" s="60">
        <f>LE_IND!AD103</f>
        <v>13.890344809349353</v>
      </c>
      <c r="J151" s="50">
        <f>LE_ZAF!AD103</f>
        <v>13.346385046426393</v>
      </c>
      <c r="L151" s="20" t="s">
        <v>952</v>
      </c>
      <c r="M151" s="47">
        <f t="shared" si="1"/>
        <v>8.9725561683632549E-2</v>
      </c>
      <c r="N151" s="60">
        <f t="shared" si="1"/>
        <v>9.5384997299618135E-2</v>
      </c>
      <c r="O151" s="50">
        <f t="shared" si="1"/>
        <v>0.14221981054585875</v>
      </c>
    </row>
    <row r="152" spans="2:15" x14ac:dyDescent="0.3">
      <c r="B152" s="20" t="s">
        <v>153</v>
      </c>
      <c r="C152" s="47">
        <f>LE_BRA!C104</f>
        <v>13.937694341379462</v>
      </c>
      <c r="D152" s="60">
        <f>LE_IND!C104</f>
        <v>13.687615713716827</v>
      </c>
      <c r="E152" s="50">
        <f>LE_ZAF!C104</f>
        <v>13.078111709730942</v>
      </c>
      <c r="G152" s="20" t="s">
        <v>553</v>
      </c>
      <c r="H152" s="47">
        <f>LE_BRA!AD104</f>
        <v>13.833633648605186</v>
      </c>
      <c r="I152" s="60">
        <f>LE_IND!AD104</f>
        <v>13.574325463955709</v>
      </c>
      <c r="J152" s="50">
        <f>LE_ZAF!AD104</f>
        <v>12.907892529630761</v>
      </c>
      <c r="L152" s="20" t="s">
        <v>953</v>
      </c>
      <c r="M152" s="47">
        <f t="shared" si="1"/>
        <v>0.10406069277427576</v>
      </c>
      <c r="N152" s="60">
        <f t="shared" si="1"/>
        <v>0.11329024976111768</v>
      </c>
      <c r="O152" s="50">
        <f t="shared" si="1"/>
        <v>0.17021918010018133</v>
      </c>
    </row>
    <row r="153" spans="2:15" x14ac:dyDescent="0.3">
      <c r="B153" s="20" t="s">
        <v>154</v>
      </c>
      <c r="C153" s="47">
        <f>LE_BRA!C105</f>
        <v>13.662162839905877</v>
      </c>
      <c r="D153" s="60">
        <f>LE_IND!C105</f>
        <v>13.326808477504052</v>
      </c>
      <c r="E153" s="50">
        <f>LE_ZAF!C105</f>
        <v>12.613250012411008</v>
      </c>
      <c r="G153" s="20" t="s">
        <v>554</v>
      </c>
      <c r="H153" s="47">
        <f>LE_BRA!AD105</f>
        <v>13.542461894385212</v>
      </c>
      <c r="I153" s="60">
        <f>LE_IND!AD105</f>
        <v>13.193105989408394</v>
      </c>
      <c r="J153" s="50">
        <f>LE_ZAF!AD105</f>
        <v>12.414333541874122</v>
      </c>
      <c r="L153" s="20" t="s">
        <v>954</v>
      </c>
      <c r="M153" s="47">
        <f t="shared" si="1"/>
        <v>0.11970094552066435</v>
      </c>
      <c r="N153" s="60">
        <f t="shared" si="1"/>
        <v>0.13370248809565766</v>
      </c>
      <c r="O153" s="50">
        <f t="shared" si="1"/>
        <v>0.19891647053688644</v>
      </c>
    </row>
    <row r="154" spans="2:15" x14ac:dyDescent="0.3">
      <c r="B154" s="20" t="s">
        <v>155</v>
      </c>
      <c r="C154" s="47">
        <f>LE_BRA!C106</f>
        <v>13.313243115305516</v>
      </c>
      <c r="D154" s="60">
        <f>LE_IND!C106</f>
        <v>12.881574824829848</v>
      </c>
      <c r="E154" s="50">
        <f>LE_ZAF!C106</f>
        <v>12.097468960358508</v>
      </c>
      <c r="G154" s="20" t="s">
        <v>555</v>
      </c>
      <c r="H154" s="47">
        <f>LE_BRA!AD106</f>
        <v>13.173759065783978</v>
      </c>
      <c r="I154" s="60">
        <f>LE_IND!AD106</f>
        <v>12.723572228285347</v>
      </c>
      <c r="J154" s="50">
        <f>LE_ZAF!AD106</f>
        <v>11.870799368139179</v>
      </c>
      <c r="L154" s="20" t="s">
        <v>955</v>
      </c>
      <c r="M154" s="47">
        <f t="shared" si="1"/>
        <v>0.13948404952153837</v>
      </c>
      <c r="N154" s="60">
        <f t="shared" si="1"/>
        <v>0.15800259654450066</v>
      </c>
      <c r="O154" s="50">
        <f t="shared" si="1"/>
        <v>0.22666959221932892</v>
      </c>
    </row>
    <row r="155" spans="2:15" x14ac:dyDescent="0.3">
      <c r="B155" s="20" t="s">
        <v>156</v>
      </c>
      <c r="C155" s="47">
        <f>LE_BRA!C107</f>
        <v>12.886391551139539</v>
      </c>
      <c r="D155" s="60">
        <f>LE_IND!C107</f>
        <v>12.343554481404233</v>
      </c>
      <c r="E155" s="50">
        <f>LE_ZAF!C107</f>
        <v>11.538036232591841</v>
      </c>
      <c r="G155" s="20" t="s">
        <v>556</v>
      </c>
      <c r="H155" s="47">
        <f>LE_BRA!AD107</f>
        <v>12.723777332553004</v>
      </c>
      <c r="I155" s="60">
        <f>LE_IND!AD107</f>
        <v>12.158019622034162</v>
      </c>
      <c r="J155" s="50">
        <f>LE_ZAF!AD107</f>
        <v>11.286765230706735</v>
      </c>
      <c r="L155" s="20" t="s">
        <v>956</v>
      </c>
      <c r="M155" s="47">
        <f t="shared" si="1"/>
        <v>0.16261421858653513</v>
      </c>
      <c r="N155" s="60">
        <f t="shared" si="1"/>
        <v>0.18553485937007075</v>
      </c>
      <c r="O155" s="50">
        <f t="shared" si="1"/>
        <v>0.25127100188510632</v>
      </c>
    </row>
    <row r="156" spans="2:15" x14ac:dyDescent="0.3">
      <c r="B156" s="20" t="s">
        <v>157</v>
      </c>
      <c r="C156" s="47">
        <f>LE_BRA!C108</f>
        <v>12.37042295171023</v>
      </c>
      <c r="D156" s="60">
        <f>LE_IND!C108</f>
        <v>11.70037149607203</v>
      </c>
      <c r="E156" s="50">
        <f>LE_ZAF!C108</f>
        <v>10.93125298227706</v>
      </c>
      <c r="G156" s="20" t="s">
        <v>557</v>
      </c>
      <c r="H156" s="47">
        <f>LE_BRA!AD108</f>
        <v>12.181542092879084</v>
      </c>
      <c r="I156" s="60">
        <f>LE_IND!AD108</f>
        <v>11.484516849607468</v>
      </c>
      <c r="J156" s="50">
        <f>LE_ZAF!AD108</f>
        <v>10.659757314975709</v>
      </c>
      <c r="L156" s="20" t="s">
        <v>957</v>
      </c>
      <c r="M156" s="47">
        <f t="shared" si="1"/>
        <v>0.18888085883114591</v>
      </c>
      <c r="N156" s="60">
        <f t="shared" si="1"/>
        <v>0.21585464646456209</v>
      </c>
      <c r="O156" s="50">
        <f t="shared" si="1"/>
        <v>0.27149566730135177</v>
      </c>
    </row>
    <row r="157" spans="2:15" x14ac:dyDescent="0.3">
      <c r="B157" s="20" t="s">
        <v>158</v>
      </c>
      <c r="C157" s="47">
        <f>LE_BRA!C109</f>
        <v>11.756820233080363</v>
      </c>
      <c r="D157" s="60">
        <f>LE_IND!C109</f>
        <v>10.938203198538767</v>
      </c>
      <c r="E157" s="50">
        <f>LE_ZAF!C109</f>
        <v>10.239827727064247</v>
      </c>
      <c r="G157" s="20" t="s">
        <v>558</v>
      </c>
      <c r="H157" s="47">
        <f>LE_BRA!AD109</f>
        <v>11.539341817382379</v>
      </c>
      <c r="I157" s="60">
        <f>LE_IND!AD109</f>
        <v>10.689754164555893</v>
      </c>
      <c r="J157" s="50">
        <f>LE_ZAF!AD109</f>
        <v>9.9501345705515973</v>
      </c>
      <c r="L157" s="20" t="s">
        <v>958</v>
      </c>
      <c r="M157" s="47">
        <f t="shared" si="1"/>
        <v>0.21747841569798432</v>
      </c>
      <c r="N157" s="60">
        <f t="shared" si="1"/>
        <v>0.24844903398287421</v>
      </c>
      <c r="O157" s="50">
        <f t="shared" si="1"/>
        <v>0.28969315651264971</v>
      </c>
    </row>
    <row r="158" spans="2:15" x14ac:dyDescent="0.3">
      <c r="B158" s="20" t="s">
        <v>159</v>
      </c>
      <c r="C158" s="47">
        <f>LE_BRA!C110</f>
        <v>11.044053553831032</v>
      </c>
      <c r="D158" s="60">
        <f>LE_IND!C110</f>
        <v>10.066245575077454</v>
      </c>
      <c r="E158" s="50">
        <f>LE_ZAF!C110</f>
        <v>9.450176226389976</v>
      </c>
      <c r="G158" s="20" t="s">
        <v>559</v>
      </c>
      <c r="H158" s="47">
        <f>LE_BRA!AD110</f>
        <v>10.797542061255403</v>
      </c>
      <c r="I158" s="60">
        <f>LE_IND!AD110</f>
        <v>9.7861914835487873</v>
      </c>
      <c r="J158" s="50">
        <f>LE_ZAF!AD110</f>
        <v>9.1450181685099512</v>
      </c>
      <c r="L158" s="20" t="s">
        <v>959</v>
      </c>
      <c r="M158" s="47">
        <f t="shared" si="1"/>
        <v>0.24651149257562999</v>
      </c>
      <c r="N158" s="60">
        <f t="shared" si="1"/>
        <v>0.28005409152866712</v>
      </c>
      <c r="O158" s="50">
        <f t="shared" si="1"/>
        <v>0.30515805788002481</v>
      </c>
    </row>
    <row r="159" spans="2:15" x14ac:dyDescent="0.3">
      <c r="B159" s="20" t="s">
        <v>160</v>
      </c>
      <c r="C159" s="47">
        <f>LE_BRA!C111</f>
        <v>10.221998789979047</v>
      </c>
      <c r="D159" s="60">
        <f>LE_IND!C111</f>
        <v>9.1005993116195683</v>
      </c>
      <c r="E159" s="50">
        <f>LE_ZAF!C111</f>
        <v>8.5438465319344452</v>
      </c>
      <c r="G159" s="20" t="s">
        <v>560</v>
      </c>
      <c r="H159" s="47">
        <f>LE_BRA!AD111</f>
        <v>9.9470400658039253</v>
      </c>
      <c r="I159" s="60">
        <f>LE_IND!AD111</f>
        <v>8.7937348520173302</v>
      </c>
      <c r="J159" s="50">
        <f>LE_ZAF!AD111</f>
        <v>8.2263328552358583</v>
      </c>
      <c r="L159" s="20" t="s">
        <v>960</v>
      </c>
      <c r="M159" s="47">
        <f t="shared" si="1"/>
        <v>0.27495872417512146</v>
      </c>
      <c r="N159" s="60">
        <f t="shared" si="1"/>
        <v>0.30686445960223807</v>
      </c>
      <c r="O159" s="50">
        <f t="shared" si="1"/>
        <v>0.31751367669858688</v>
      </c>
    </row>
    <row r="160" spans="2:15" x14ac:dyDescent="0.3">
      <c r="B160" s="20" t="s">
        <v>161</v>
      </c>
      <c r="C160" s="47">
        <f>LE_BRA!C112</f>
        <v>9.2916898996060091</v>
      </c>
      <c r="D160" s="60">
        <f>LE_IND!C112</f>
        <v>8.041788835938295</v>
      </c>
      <c r="E160" s="50">
        <f>LE_ZAF!C112</f>
        <v>7.5140542094303324</v>
      </c>
      <c r="G160" s="20" t="s">
        <v>561</v>
      </c>
      <c r="H160" s="47">
        <f>LE_BRA!AD112</f>
        <v>8.9911311897200807</v>
      </c>
      <c r="I160" s="60">
        <f>LE_IND!AD112</f>
        <v>7.7144158098191493</v>
      </c>
      <c r="J160" s="50">
        <f>LE_ZAF!AD112</f>
        <v>7.1885736948936643</v>
      </c>
      <c r="L160" s="20" t="s">
        <v>961</v>
      </c>
      <c r="M160" s="47">
        <f t="shared" si="1"/>
        <v>0.30055870988592837</v>
      </c>
      <c r="N160" s="60">
        <f t="shared" si="1"/>
        <v>0.32737302611914565</v>
      </c>
      <c r="O160" s="50">
        <f t="shared" si="1"/>
        <v>0.32548051453666815</v>
      </c>
    </row>
    <row r="161" spans="2:15" x14ac:dyDescent="0.3">
      <c r="B161" s="20" t="s">
        <v>162</v>
      </c>
      <c r="C161" s="47">
        <f>LE_BRA!C113</f>
        <v>8.2723647040478596</v>
      </c>
      <c r="D161" s="60">
        <f>LE_IND!C113</f>
        <v>6.9128813863597625</v>
      </c>
      <c r="E161" s="50">
        <f>LE_ZAF!C113</f>
        <v>6.3929762021290699</v>
      </c>
      <c r="G161" s="20" t="s">
        <v>562</v>
      </c>
      <c r="H161" s="47">
        <f>LE_BRA!AD113</f>
        <v>7.9529568303743439</v>
      </c>
      <c r="I161" s="60">
        <f>LE_IND!AD113</f>
        <v>6.573934849656272</v>
      </c>
      <c r="J161" s="50">
        <f>LE_ZAF!AD113</f>
        <v>6.068184837853301</v>
      </c>
      <c r="L161" s="20" t="s">
        <v>962</v>
      </c>
      <c r="M161" s="47">
        <f t="shared" si="1"/>
        <v>0.31940787367351575</v>
      </c>
      <c r="N161" s="60">
        <f t="shared" si="1"/>
        <v>0.33894653670349051</v>
      </c>
      <c r="O161" s="50">
        <f t="shared" si="1"/>
        <v>0.32479136427576893</v>
      </c>
    </row>
    <row r="162" spans="2:15" x14ac:dyDescent="0.3">
      <c r="B162" s="20" t="s">
        <v>163</v>
      </c>
      <c r="C162" s="47">
        <f>LE_BRA!C114</f>
        <v>7.1738817862699369</v>
      </c>
      <c r="D162" s="60">
        <f>LE_IND!C114</f>
        <v>5.7767775589966863</v>
      </c>
      <c r="E162" s="50">
        <f>LE_ZAF!C114</f>
        <v>5.2243066784170029</v>
      </c>
      <c r="G162" s="20" t="s">
        <v>563</v>
      </c>
      <c r="H162" s="47">
        <f>LE_BRA!AD114</f>
        <v>6.8446288421887482</v>
      </c>
      <c r="I162" s="60">
        <f>LE_IND!AD114</f>
        <v>5.4392740123769761</v>
      </c>
      <c r="J162" s="50">
        <f>LE_ZAF!AD114</f>
        <v>4.9123658135608457</v>
      </c>
      <c r="L162" s="20" t="s">
        <v>963</v>
      </c>
      <c r="M162" s="47">
        <f t="shared" si="1"/>
        <v>0.32925294408118866</v>
      </c>
      <c r="N162" s="60">
        <f t="shared" si="1"/>
        <v>0.33750354661971027</v>
      </c>
      <c r="O162" s="50">
        <f t="shared" si="1"/>
        <v>0.31194086485615724</v>
      </c>
    </row>
    <row r="163" spans="2:15" x14ac:dyDescent="0.3">
      <c r="B163" s="20" t="s">
        <v>164</v>
      </c>
      <c r="C163" s="47">
        <f>LE_BRA!C115</f>
        <v>5.5467185794346285</v>
      </c>
      <c r="D163" s="60">
        <f>LE_IND!C115</f>
        <v>4.2320641601449029</v>
      </c>
      <c r="E163" s="50">
        <f>LE_ZAF!C115</f>
        <v>3.5594624146770553</v>
      </c>
      <c r="G163" s="20" t="s">
        <v>564</v>
      </c>
      <c r="H163" s="47">
        <f>LE_BRA!AD115</f>
        <v>5.2227541480294377</v>
      </c>
      <c r="I163" s="60">
        <f>LE_IND!AD115</f>
        <v>3.9179060832487056</v>
      </c>
      <c r="J163" s="50">
        <f>LE_ZAF!AD115</f>
        <v>3.2854127697639468</v>
      </c>
      <c r="L163" s="20" t="s">
        <v>964</v>
      </c>
      <c r="M163" s="47">
        <f t="shared" si="1"/>
        <v>0.32396443140519082</v>
      </c>
      <c r="N163" s="60">
        <f t="shared" si="1"/>
        <v>0.31415807689619735</v>
      </c>
      <c r="O163" s="50">
        <f t="shared" si="1"/>
        <v>0.27404964491310846</v>
      </c>
    </row>
    <row r="164" spans="2:15" x14ac:dyDescent="0.3">
      <c r="B164" s="20" t="s">
        <v>165</v>
      </c>
      <c r="C164" s="47">
        <f>LE_BRA!C116</f>
        <v>14.013951224734457</v>
      </c>
      <c r="D164" s="60">
        <f>LE_IND!C116</f>
        <v>13.874404006909101</v>
      </c>
      <c r="E164" s="50">
        <f>LE_ZAF!C116</f>
        <v>13.625792016944759</v>
      </c>
      <c r="G164" s="20" t="s">
        <v>565</v>
      </c>
      <c r="H164" s="47">
        <f>LE_BRA!AD116</f>
        <v>13.96746353241158</v>
      </c>
      <c r="I164" s="60">
        <f>LE_IND!AD116</f>
        <v>13.817911164828946</v>
      </c>
      <c r="J164" s="50">
        <f>LE_ZAF!AD116</f>
        <v>13.545248019426623</v>
      </c>
      <c r="L164" s="20" t="s">
        <v>965</v>
      </c>
      <c r="M164" s="47">
        <f t="shared" si="1"/>
        <v>4.6487692322877194E-2</v>
      </c>
      <c r="N164" s="60">
        <f t="shared" si="1"/>
        <v>5.649284208015537E-2</v>
      </c>
      <c r="O164" s="50">
        <f t="shared" si="1"/>
        <v>8.0543997518136123E-2</v>
      </c>
    </row>
    <row r="165" spans="2:15" x14ac:dyDescent="0.3">
      <c r="B165" s="20" t="s">
        <v>166</v>
      </c>
      <c r="C165" s="47">
        <f>LE_BRA!C117</f>
        <v>13.88429265846678</v>
      </c>
      <c r="D165" s="60">
        <f>LE_IND!C117</f>
        <v>13.755840754428974</v>
      </c>
      <c r="E165" s="50">
        <f>LE_ZAF!C117</f>
        <v>13.456195871756275</v>
      </c>
      <c r="G165" s="20" t="s">
        <v>566</v>
      </c>
      <c r="H165" s="47">
        <f>LE_BRA!AD117</f>
        <v>13.828181051797891</v>
      </c>
      <c r="I165" s="60">
        <f>LE_IND!AD117</f>
        <v>13.693663424152419</v>
      </c>
      <c r="J165" s="50">
        <f>LE_ZAF!AD117</f>
        <v>13.365508994299699</v>
      </c>
      <c r="L165" s="20" t="s">
        <v>966</v>
      </c>
      <c r="M165" s="47">
        <f t="shared" si="1"/>
        <v>5.6111606668888925E-2</v>
      </c>
      <c r="N165" s="60">
        <f t="shared" si="1"/>
        <v>6.2177330276554699E-2</v>
      </c>
      <c r="O165" s="50">
        <f t="shared" si="1"/>
        <v>9.0686877456576553E-2</v>
      </c>
    </row>
    <row r="166" spans="2:15" x14ac:dyDescent="0.3">
      <c r="B166" s="20" t="s">
        <v>167</v>
      </c>
      <c r="C166" s="47">
        <f>LE_BRA!C118</f>
        <v>13.709562041021831</v>
      </c>
      <c r="D166" s="60">
        <f>LE_IND!C118</f>
        <v>13.566172961858587</v>
      </c>
      <c r="E166" s="50">
        <f>LE_ZAF!C118</f>
        <v>13.193634254283495</v>
      </c>
      <c r="G166" s="20" t="s">
        <v>567</v>
      </c>
      <c r="H166" s="47">
        <f>LE_BRA!AD118</f>
        <v>13.639893460124362</v>
      </c>
      <c r="I166" s="60">
        <f>LE_IND!AD118</f>
        <v>13.491518804518766</v>
      </c>
      <c r="J166" s="50">
        <f>LE_ZAF!AD118</f>
        <v>13.083797442352395</v>
      </c>
      <c r="L166" s="20" t="s">
        <v>967</v>
      </c>
      <c r="M166" s="47">
        <f t="shared" si="1"/>
        <v>6.9668580897468857E-2</v>
      </c>
      <c r="N166" s="60">
        <f t="shared" si="1"/>
        <v>7.4654157339821836E-2</v>
      </c>
      <c r="O166" s="50">
        <f t="shared" si="1"/>
        <v>0.10983681193109973</v>
      </c>
    </row>
    <row r="167" spans="2:15" x14ac:dyDescent="0.3">
      <c r="B167" s="20" t="s">
        <v>168</v>
      </c>
      <c r="C167" s="47">
        <f>LE_BRA!C119</f>
        <v>13.505841876517099</v>
      </c>
      <c r="D167" s="60">
        <f>LE_IND!C119</f>
        <v>13.328135280939982</v>
      </c>
      <c r="E167" s="50">
        <f>LE_ZAF!C119</f>
        <v>12.862884903294102</v>
      </c>
      <c r="G167" s="20" t="s">
        <v>568</v>
      </c>
      <c r="H167" s="47">
        <f>LE_BRA!AD119</f>
        <v>13.421422529598756</v>
      </c>
      <c r="I167" s="60">
        <f>LE_IND!AD119</f>
        <v>13.238044788196236</v>
      </c>
      <c r="J167" s="50">
        <f>LE_ZAF!AD119</f>
        <v>12.729067442392207</v>
      </c>
      <c r="L167" s="20" t="s">
        <v>968</v>
      </c>
      <c r="M167" s="47">
        <f t="shared" si="1"/>
        <v>8.4419346918343408E-2</v>
      </c>
      <c r="N167" s="60">
        <f t="shared" si="1"/>
        <v>9.0090492743746253E-2</v>
      </c>
      <c r="O167" s="50">
        <f t="shared" si="1"/>
        <v>0.13381746090189495</v>
      </c>
    </row>
    <row r="168" spans="2:15" x14ac:dyDescent="0.3">
      <c r="B168" s="20" t="s">
        <v>169</v>
      </c>
      <c r="C168" s="47">
        <f>LE_BRA!C120</f>
        <v>13.285737597631899</v>
      </c>
      <c r="D168" s="60">
        <f>LE_IND!C120</f>
        <v>13.045376739687352</v>
      </c>
      <c r="E168" s="50">
        <f>LE_ZAF!C120</f>
        <v>12.474723994730828</v>
      </c>
      <c r="G168" s="20" t="s">
        <v>569</v>
      </c>
      <c r="H168" s="47">
        <f>LE_BRA!AD120</f>
        <v>13.187730907755508</v>
      </c>
      <c r="I168" s="60">
        <f>LE_IND!AD120</f>
        <v>12.938293505366326</v>
      </c>
      <c r="J168" s="50">
        <f>LE_ZAF!AD120</f>
        <v>12.314477806490665</v>
      </c>
      <c r="L168" s="20" t="s">
        <v>969</v>
      </c>
      <c r="M168" s="47">
        <f t="shared" si="1"/>
        <v>9.8006689876390496E-2</v>
      </c>
      <c r="N168" s="60">
        <f t="shared" si="1"/>
        <v>0.10708323432102596</v>
      </c>
      <c r="O168" s="50">
        <f t="shared" si="1"/>
        <v>0.16024618824016379</v>
      </c>
    </row>
    <row r="169" spans="2:15" x14ac:dyDescent="0.3">
      <c r="B169" s="20" t="s">
        <v>170</v>
      </c>
      <c r="C169" s="47">
        <f>LE_BRA!C121</f>
        <v>13.02457084607599</v>
      </c>
      <c r="D169" s="60">
        <f>LE_IND!C121</f>
        <v>12.703006793913563</v>
      </c>
      <c r="E169" s="50">
        <f>LE_ZAF!C121</f>
        <v>12.034145295125981</v>
      </c>
      <c r="G169" s="20" t="s">
        <v>570</v>
      </c>
      <c r="H169" s="47">
        <f>LE_BRA!AD121</f>
        <v>12.911719979567268</v>
      </c>
      <c r="I169" s="60">
        <f>LE_IND!AD121</f>
        <v>12.576534682442265</v>
      </c>
      <c r="J169" s="50">
        <f>LE_ZAF!AD121</f>
        <v>11.84671647595688</v>
      </c>
      <c r="L169" s="20" t="s">
        <v>970</v>
      </c>
      <c r="M169" s="47">
        <f t="shared" si="1"/>
        <v>0.11285086650872245</v>
      </c>
      <c r="N169" s="60">
        <f t="shared" si="1"/>
        <v>0.12647211147129767</v>
      </c>
      <c r="O169" s="50">
        <f t="shared" si="1"/>
        <v>0.18742881916910115</v>
      </c>
    </row>
    <row r="170" spans="2:15" x14ac:dyDescent="0.3">
      <c r="B170" s="20" t="s">
        <v>171</v>
      </c>
      <c r="C170" s="47">
        <f>LE_BRA!C122</f>
        <v>12.693983445683019</v>
      </c>
      <c r="D170" s="60">
        <f>LE_IND!C122</f>
        <v>12.280458992658946</v>
      </c>
      <c r="E170" s="50">
        <f>LE_ZAF!C122</f>
        <v>11.543874826659401</v>
      </c>
      <c r="G170" s="20" t="s">
        <v>571</v>
      </c>
      <c r="H170" s="47">
        <f>LE_BRA!AD122</f>
        <v>12.562378636746084</v>
      </c>
      <c r="I170" s="60">
        <f>LE_IND!AD122</f>
        <v>12.130899658095981</v>
      </c>
      <c r="J170" s="50">
        <f>LE_ZAF!AD122</f>
        <v>11.330017019086728</v>
      </c>
      <c r="L170" s="20" t="s">
        <v>971</v>
      </c>
      <c r="M170" s="47">
        <f t="shared" si="1"/>
        <v>0.1316048089369346</v>
      </c>
      <c r="N170" s="60">
        <f t="shared" si="1"/>
        <v>0.14955933456296577</v>
      </c>
      <c r="O170" s="50">
        <f t="shared" si="1"/>
        <v>0.2138578075726727</v>
      </c>
    </row>
    <row r="171" spans="2:15" x14ac:dyDescent="0.3">
      <c r="B171" s="20" t="s">
        <v>172</v>
      </c>
      <c r="C171" s="47">
        <f>LE_BRA!C123</f>
        <v>12.289468071402561</v>
      </c>
      <c r="D171" s="60">
        <f>LE_IND!C123</f>
        <v>11.769655995891064</v>
      </c>
      <c r="E171" s="50">
        <f>LE_ZAF!C123</f>
        <v>11.010539625872434</v>
      </c>
      <c r="G171" s="20" t="s">
        <v>572</v>
      </c>
      <c r="H171" s="47">
        <f>LE_BRA!AD123</f>
        <v>12.135930618950228</v>
      </c>
      <c r="I171" s="60">
        <f>LE_IND!AD123</f>
        <v>11.593918045514434</v>
      </c>
      <c r="J171" s="50">
        <f>LE_ZAF!AD123</f>
        <v>10.773089583680225</v>
      </c>
      <c r="L171" s="20" t="s">
        <v>972</v>
      </c>
      <c r="M171" s="47">
        <f t="shared" si="1"/>
        <v>0.15353745245233341</v>
      </c>
      <c r="N171" s="60">
        <f t="shared" si="1"/>
        <v>0.17573795037663054</v>
      </c>
      <c r="O171" s="50">
        <f t="shared" si="1"/>
        <v>0.23745004219220966</v>
      </c>
    </row>
    <row r="172" spans="2:15" x14ac:dyDescent="0.3">
      <c r="B172" s="20" t="s">
        <v>173</v>
      </c>
      <c r="C172" s="47">
        <f>LE_BRA!C124</f>
        <v>11.800314168132774</v>
      </c>
      <c r="D172" s="60">
        <f>LE_IND!C124</f>
        <v>11.158759802157832</v>
      </c>
      <c r="E172" s="50">
        <f>LE_ZAF!C124</f>
        <v>10.430727262020099</v>
      </c>
      <c r="G172" s="20" t="s">
        <v>573</v>
      </c>
      <c r="H172" s="47">
        <f>LE_BRA!AD124</f>
        <v>11.621855569401227</v>
      </c>
      <c r="I172" s="60">
        <f>LE_IND!AD124</f>
        <v>10.954167026458007</v>
      </c>
      <c r="J172" s="50">
        <f>LE_ZAF!AD124</f>
        <v>10.173708054980132</v>
      </c>
      <c r="L172" s="20" t="s">
        <v>973</v>
      </c>
      <c r="M172" s="47">
        <f t="shared" si="1"/>
        <v>0.17845859873154701</v>
      </c>
      <c r="N172" s="60">
        <f t="shared" si="1"/>
        <v>0.20459277569982426</v>
      </c>
      <c r="O172" s="50">
        <f t="shared" si="1"/>
        <v>0.25701920703996706</v>
      </c>
    </row>
    <row r="173" spans="2:15" x14ac:dyDescent="0.3">
      <c r="B173" s="20" t="s">
        <v>174</v>
      </c>
      <c r="C173" s="47">
        <f>LE_BRA!C125</f>
        <v>11.218279144093149</v>
      </c>
      <c r="D173" s="60">
        <f>LE_IND!C125</f>
        <v>10.434623287790442</v>
      </c>
      <c r="E173" s="50">
        <f>LE_ZAF!C125</f>
        <v>9.7698918522029849</v>
      </c>
      <c r="G173" s="20" t="s">
        <v>574</v>
      </c>
      <c r="H173" s="47">
        <f>LE_BRA!AD125</f>
        <v>11.012662134538227</v>
      </c>
      <c r="I173" s="60">
        <f>LE_IND!AD125</f>
        <v>10.198990871487156</v>
      </c>
      <c r="J173" s="50">
        <f>LE_ZAF!AD125</f>
        <v>9.4951973796016702</v>
      </c>
      <c r="L173" s="20" t="s">
        <v>974</v>
      </c>
      <c r="M173" s="47">
        <f t="shared" ref="M173:O232" si="2">C173-H173</f>
        <v>0.20561700955492235</v>
      </c>
      <c r="N173" s="60">
        <f t="shared" si="2"/>
        <v>0.23563241630328591</v>
      </c>
      <c r="O173" s="50">
        <f t="shared" si="2"/>
        <v>0.27469447260131474</v>
      </c>
    </row>
    <row r="174" spans="2:15" x14ac:dyDescent="0.3">
      <c r="B174" s="20" t="s">
        <v>175</v>
      </c>
      <c r="C174" s="47">
        <f>LE_BRA!C126</f>
        <v>10.541598082418806</v>
      </c>
      <c r="D174" s="60">
        <f>LE_IND!C126</f>
        <v>9.6056668793149544</v>
      </c>
      <c r="E174" s="50">
        <f>LE_ZAF!C126</f>
        <v>9.0154854549806416</v>
      </c>
      <c r="G174" s="20" t="s">
        <v>575</v>
      </c>
      <c r="H174" s="47">
        <f>LE_BRA!AD126</f>
        <v>10.308359201464816</v>
      </c>
      <c r="I174" s="60">
        <f>LE_IND!AD126</f>
        <v>9.3398891115805593</v>
      </c>
      <c r="J174" s="50">
        <f>LE_ZAF!AD126</f>
        <v>8.7257238484839252</v>
      </c>
      <c r="L174" s="20" t="s">
        <v>975</v>
      </c>
      <c r="M174" s="47">
        <f t="shared" si="2"/>
        <v>0.2332388809539907</v>
      </c>
      <c r="N174" s="60">
        <f t="shared" si="2"/>
        <v>0.2657777677343951</v>
      </c>
      <c r="O174" s="50">
        <f t="shared" si="2"/>
        <v>0.28976160649671634</v>
      </c>
    </row>
    <row r="175" spans="2:15" x14ac:dyDescent="0.3">
      <c r="B175" s="20" t="s">
        <v>176</v>
      </c>
      <c r="C175" s="47">
        <f>LE_BRA!C127</f>
        <v>9.760438815296828</v>
      </c>
      <c r="D175" s="60">
        <f>LE_IND!C127</f>
        <v>8.6867940426847081</v>
      </c>
      <c r="E175" s="50">
        <f>LE_ZAF!C127</f>
        <v>8.1502614916132483</v>
      </c>
      <c r="G175" s="20" t="s">
        <v>576</v>
      </c>
      <c r="H175" s="47">
        <f>LE_BRA!AD127</f>
        <v>9.5000768151515</v>
      </c>
      <c r="I175" s="60">
        <f>LE_IND!AD127</f>
        <v>8.3953589398022448</v>
      </c>
      <c r="J175" s="50">
        <f>LE_ZAF!AD127</f>
        <v>7.848431693465173</v>
      </c>
      <c r="L175" s="20" t="s">
        <v>976</v>
      </c>
      <c r="M175" s="47">
        <f t="shared" si="2"/>
        <v>0.26036200014532795</v>
      </c>
      <c r="N175" s="60">
        <f t="shared" si="2"/>
        <v>0.29143510288246333</v>
      </c>
      <c r="O175" s="50">
        <f t="shared" si="2"/>
        <v>0.30182979814807531</v>
      </c>
    </row>
    <row r="176" spans="2:15" x14ac:dyDescent="0.3">
      <c r="B176" s="20" t="s">
        <v>177</v>
      </c>
      <c r="C176" s="47">
        <f>LE_BRA!C128</f>
        <v>8.875368460999999</v>
      </c>
      <c r="D176" s="60">
        <f>LE_IND!C128</f>
        <v>7.6784675833542764</v>
      </c>
      <c r="E176" s="50">
        <f>LE_ZAF!C128</f>
        <v>7.1678439297978498</v>
      </c>
      <c r="G176" s="20" t="s">
        <v>577</v>
      </c>
      <c r="H176" s="47">
        <f>LE_BRA!AD128</f>
        <v>8.5905146687853886</v>
      </c>
      <c r="I176" s="60">
        <f>LE_IND!AD128</f>
        <v>7.36732042152176</v>
      </c>
      <c r="J176" s="50">
        <f>LE_ZAF!AD128</f>
        <v>6.8581736988625481</v>
      </c>
      <c r="L176" s="20" t="s">
        <v>977</v>
      </c>
      <c r="M176" s="47">
        <f t="shared" si="2"/>
        <v>0.28485379221461038</v>
      </c>
      <c r="N176" s="60">
        <f t="shared" si="2"/>
        <v>0.31114716183251634</v>
      </c>
      <c r="O176" s="50">
        <f t="shared" si="2"/>
        <v>0.30967023093530166</v>
      </c>
    </row>
    <row r="177" spans="2:15" x14ac:dyDescent="0.3">
      <c r="B177" s="20" t="s">
        <v>178</v>
      </c>
      <c r="C177" s="47">
        <f>LE_BRA!C129</f>
        <v>7.904033120684546</v>
      </c>
      <c r="D177" s="60">
        <f>LE_IND!C129</f>
        <v>6.6024092815431192</v>
      </c>
      <c r="E177" s="50">
        <f>LE_ZAF!C129</f>
        <v>6.0987286497206279</v>
      </c>
      <c r="G177" s="20" t="s">
        <v>578</v>
      </c>
      <c r="H177" s="47">
        <f>LE_BRA!AD129</f>
        <v>7.6010056469162164</v>
      </c>
      <c r="I177" s="60">
        <f>LE_IND!AD129</f>
        <v>6.2800171195818715</v>
      </c>
      <c r="J177" s="50">
        <f>LE_ZAF!AD129</f>
        <v>5.7894989127340226</v>
      </c>
      <c r="L177" s="20" t="s">
        <v>978</v>
      </c>
      <c r="M177" s="47">
        <f t="shared" si="2"/>
        <v>0.30302747376832961</v>
      </c>
      <c r="N177" s="60">
        <f t="shared" si="2"/>
        <v>0.32239216196124776</v>
      </c>
      <c r="O177" s="50">
        <f t="shared" si="2"/>
        <v>0.30922973698660527</v>
      </c>
    </row>
    <row r="178" spans="2:15" x14ac:dyDescent="0.3">
      <c r="B178" s="20" t="s">
        <v>179</v>
      </c>
      <c r="C178" s="47">
        <f>LE_BRA!C130</f>
        <v>6.8557695251584869</v>
      </c>
      <c r="D178" s="60">
        <f>LE_IND!C130</f>
        <v>5.5182474980745164</v>
      </c>
      <c r="E178" s="50">
        <f>LE_ZAF!C130</f>
        <v>4.9845227845124089</v>
      </c>
      <c r="G178" s="20" t="s">
        <v>579</v>
      </c>
      <c r="H178" s="47">
        <f>LE_BRA!AD130</f>
        <v>6.5430732979008868</v>
      </c>
      <c r="I178" s="60">
        <f>LE_IND!AD130</f>
        <v>5.1969936717172471</v>
      </c>
      <c r="J178" s="50">
        <f>LE_ZAF!AD130</f>
        <v>4.6873567906046558</v>
      </c>
      <c r="L178" s="20" t="s">
        <v>979</v>
      </c>
      <c r="M178" s="47">
        <f t="shared" si="2"/>
        <v>0.31269622725760016</v>
      </c>
      <c r="N178" s="60">
        <f t="shared" si="2"/>
        <v>0.32125382635726929</v>
      </c>
      <c r="O178" s="50">
        <f t="shared" si="2"/>
        <v>0.29716599390775311</v>
      </c>
    </row>
    <row r="179" spans="2:15" x14ac:dyDescent="0.3">
      <c r="B179" s="20" t="s">
        <v>180</v>
      </c>
      <c r="C179" s="47">
        <f>LE_BRA!C131</f>
        <v>5.3006314421021248</v>
      </c>
      <c r="D179" s="60">
        <f>LE_IND!C131</f>
        <v>4.042526315710024</v>
      </c>
      <c r="E179" s="50">
        <f>LE_ZAF!C131</f>
        <v>3.3975188449120548</v>
      </c>
      <c r="G179" s="20" t="s">
        <v>580</v>
      </c>
      <c r="H179" s="47">
        <f>LE_BRA!AD131</f>
        <v>4.9925579230005148</v>
      </c>
      <c r="I179" s="60">
        <f>LE_IND!AD131</f>
        <v>3.7432286520486748</v>
      </c>
      <c r="J179" s="50">
        <f>LE_ZAF!AD131</f>
        <v>3.1362518282506233</v>
      </c>
      <c r="L179" s="20" t="s">
        <v>980</v>
      </c>
      <c r="M179" s="47">
        <f t="shared" si="2"/>
        <v>0.30807351910160996</v>
      </c>
      <c r="N179" s="60">
        <f t="shared" si="2"/>
        <v>0.29929766366134913</v>
      </c>
      <c r="O179" s="50">
        <f t="shared" si="2"/>
        <v>0.26126701666143148</v>
      </c>
    </row>
    <row r="180" spans="2:15" x14ac:dyDescent="0.3">
      <c r="B180" s="20" t="s">
        <v>181</v>
      </c>
      <c r="C180" s="47">
        <f>LE_BRA!C132</f>
        <v>13.352528956381086</v>
      </c>
      <c r="D180" s="60">
        <f>LE_IND!C132</f>
        <v>13.220149956784946</v>
      </c>
      <c r="E180" s="50">
        <f>LE_ZAF!C132</f>
        <v>12.987089401891254</v>
      </c>
      <c r="G180" s="20" t="s">
        <v>581</v>
      </c>
      <c r="H180" s="47">
        <f>LE_BRA!AD132</f>
        <v>13.308871456907887</v>
      </c>
      <c r="I180" s="60">
        <f>LE_IND!AD132</f>
        <v>13.167035770864425</v>
      </c>
      <c r="J180" s="50">
        <f>LE_ZAF!AD132</f>
        <v>12.911452616753856</v>
      </c>
      <c r="L180" s="20" t="s">
        <v>981</v>
      </c>
      <c r="M180" s="47">
        <f t="shared" si="2"/>
        <v>4.3657499473198413E-2</v>
      </c>
      <c r="N180" s="60">
        <f t="shared" si="2"/>
        <v>5.311418592052064E-2</v>
      </c>
      <c r="O180" s="50">
        <f t="shared" si="2"/>
        <v>7.5636785137398022E-2</v>
      </c>
    </row>
    <row r="181" spans="2:15" x14ac:dyDescent="0.3">
      <c r="B181" s="20" t="s">
        <v>182</v>
      </c>
      <c r="C181" s="47">
        <f>LE_BRA!C133</f>
        <v>13.230067000113428</v>
      </c>
      <c r="D181" s="60">
        <f>LE_IND!C133</f>
        <v>13.106895905141293</v>
      </c>
      <c r="E181" s="50">
        <f>LE_ZAF!C133</f>
        <v>12.826513921698096</v>
      </c>
      <c r="G181" s="20" t="s">
        <v>582</v>
      </c>
      <c r="H181" s="47">
        <f>LE_BRA!AD133</f>
        <v>13.177332475112202</v>
      </c>
      <c r="I181" s="60">
        <f>LE_IND!AD133</f>
        <v>13.048275761805399</v>
      </c>
      <c r="J181" s="50">
        <f>LE_ZAF!AD133</f>
        <v>12.741274382389641</v>
      </c>
      <c r="L181" s="20" t="s">
        <v>982</v>
      </c>
      <c r="M181" s="47">
        <f t="shared" si="2"/>
        <v>5.2734525001225663E-2</v>
      </c>
      <c r="N181" s="60">
        <f t="shared" si="2"/>
        <v>5.8620143335893715E-2</v>
      </c>
      <c r="O181" s="50">
        <f t="shared" si="2"/>
        <v>8.5239539308455292E-2</v>
      </c>
    </row>
    <row r="182" spans="2:15" x14ac:dyDescent="0.3">
      <c r="B182" s="20" t="s">
        <v>183</v>
      </c>
      <c r="C182" s="47">
        <f>LE_BRA!C134</f>
        <v>13.065242072788832</v>
      </c>
      <c r="D182" s="60">
        <f>LE_IND!C134</f>
        <v>12.927089288047123</v>
      </c>
      <c r="E182" s="50">
        <f>LE_ZAF!C134</f>
        <v>12.578578189457058</v>
      </c>
      <c r="G182" s="20" t="s">
        <v>583</v>
      </c>
      <c r="H182" s="47">
        <f>LE_BRA!AD134</f>
        <v>12.999747443020453</v>
      </c>
      <c r="I182" s="60">
        <f>LE_IND!AD134</f>
        <v>12.856638161525092</v>
      </c>
      <c r="J182" s="50">
        <f>LE_ZAF!AD134</f>
        <v>12.475293542844542</v>
      </c>
      <c r="L182" s="20" t="s">
        <v>983</v>
      </c>
      <c r="M182" s="47">
        <f t="shared" si="2"/>
        <v>6.5494629768378942E-2</v>
      </c>
      <c r="N182" s="60">
        <f t="shared" si="2"/>
        <v>7.0451126522030449E-2</v>
      </c>
      <c r="O182" s="50">
        <f t="shared" si="2"/>
        <v>0.1032846466125168</v>
      </c>
    </row>
    <row r="183" spans="2:15" x14ac:dyDescent="0.3">
      <c r="B183" s="20" t="s">
        <v>184</v>
      </c>
      <c r="C183" s="47">
        <f>LE_BRA!C135</f>
        <v>12.872790954428371</v>
      </c>
      <c r="D183" s="60">
        <f>LE_IND!C135</f>
        <v>12.701480993085074</v>
      </c>
      <c r="E183" s="50">
        <f>LE_ZAF!C135</f>
        <v>12.266226701950417</v>
      </c>
      <c r="G183" s="20" t="s">
        <v>584</v>
      </c>
      <c r="H183" s="47">
        <f>LE_BRA!AD135</f>
        <v>12.793382651957348</v>
      </c>
      <c r="I183" s="60">
        <f>LE_IND!AD135</f>
        <v>12.616401057527771</v>
      </c>
      <c r="J183" s="50">
        <f>LE_ZAF!AD135</f>
        <v>12.140345590602296</v>
      </c>
      <c r="L183" s="20" t="s">
        <v>984</v>
      </c>
      <c r="M183" s="47">
        <f t="shared" si="2"/>
        <v>7.9408302471023262E-2</v>
      </c>
      <c r="N183" s="60">
        <f t="shared" si="2"/>
        <v>8.5079935557303088E-2</v>
      </c>
      <c r="O183" s="50">
        <f t="shared" si="2"/>
        <v>0.12588111134812152</v>
      </c>
    </row>
    <row r="184" spans="2:15" x14ac:dyDescent="0.3">
      <c r="B184" s="20" t="s">
        <v>185</v>
      </c>
      <c r="C184" s="47">
        <f>LE_BRA!C136</f>
        <v>12.664312208767639</v>
      </c>
      <c r="D184" s="60">
        <f>LE_IND!C136</f>
        <v>12.43329729513548</v>
      </c>
      <c r="E184" s="50">
        <f>LE_ZAF!C136</f>
        <v>11.899212561501107</v>
      </c>
      <c r="G184" s="20" t="s">
        <v>585</v>
      </c>
      <c r="H184" s="47">
        <f>LE_BRA!AD136</f>
        <v>12.572026875278263</v>
      </c>
      <c r="I184" s="60">
        <f>LE_IND!AD136</f>
        <v>12.332091600570774</v>
      </c>
      <c r="J184" s="50">
        <f>LE_ZAF!AD136</f>
        <v>11.748389352140695</v>
      </c>
      <c r="L184" s="20" t="s">
        <v>985</v>
      </c>
      <c r="M184" s="47">
        <f t="shared" si="2"/>
        <v>9.2285333489375176E-2</v>
      </c>
      <c r="N184" s="60">
        <f t="shared" si="2"/>
        <v>0.10120569456470641</v>
      </c>
      <c r="O184" s="50">
        <f t="shared" si="2"/>
        <v>0.15082320936041249</v>
      </c>
    </row>
    <row r="185" spans="2:15" x14ac:dyDescent="0.3">
      <c r="B185" s="20" t="s">
        <v>186</v>
      </c>
      <c r="C185" s="47">
        <f>LE_BRA!C137</f>
        <v>12.41677603848915</v>
      </c>
      <c r="D185" s="60">
        <f>LE_IND!C137</f>
        <v>12.108433657567099</v>
      </c>
      <c r="E185" s="50">
        <f>LE_ZAF!C137</f>
        <v>11.481666468873541</v>
      </c>
      <c r="G185" s="20" t="s">
        <v>586</v>
      </c>
      <c r="H185" s="47">
        <f>LE_BRA!AD137</f>
        <v>12.310403678654488</v>
      </c>
      <c r="I185" s="60">
        <f>LE_IND!AD137</f>
        <v>11.988812153712088</v>
      </c>
      <c r="J185" s="50">
        <f>LE_ZAF!AD137</f>
        <v>11.30509750041813</v>
      </c>
      <c r="L185" s="20" t="s">
        <v>986</v>
      </c>
      <c r="M185" s="47">
        <f t="shared" si="2"/>
        <v>0.10637235983466198</v>
      </c>
      <c r="N185" s="60">
        <f t="shared" si="2"/>
        <v>0.11962150385501147</v>
      </c>
      <c r="O185" s="50">
        <f t="shared" si="2"/>
        <v>0.17656896845541148</v>
      </c>
    </row>
    <row r="186" spans="2:15" x14ac:dyDescent="0.3">
      <c r="B186" s="20" t="s">
        <v>187</v>
      </c>
      <c r="C186" s="47">
        <f>LE_BRA!C138</f>
        <v>12.103577619692048</v>
      </c>
      <c r="D186" s="60">
        <f>LE_IND!C138</f>
        <v>11.70742889972194</v>
      </c>
      <c r="E186" s="50">
        <f>LE_ZAF!C138</f>
        <v>11.015649528477388</v>
      </c>
      <c r="G186" s="20" t="s">
        <v>587</v>
      </c>
      <c r="H186" s="47">
        <f>LE_BRA!AD138</f>
        <v>11.979429112897975</v>
      </c>
      <c r="I186" s="60">
        <f>LE_IND!AD138</f>
        <v>11.565873676007943</v>
      </c>
      <c r="J186" s="50">
        <f>LE_ZAF!AD138</f>
        <v>10.813912584727735</v>
      </c>
      <c r="L186" s="20" t="s">
        <v>987</v>
      </c>
      <c r="M186" s="47">
        <f t="shared" si="2"/>
        <v>0.1241485067940733</v>
      </c>
      <c r="N186" s="60">
        <f t="shared" si="2"/>
        <v>0.14155522371399698</v>
      </c>
      <c r="O186" s="50">
        <f t="shared" si="2"/>
        <v>0.20173694374965301</v>
      </c>
    </row>
    <row r="187" spans="2:15" x14ac:dyDescent="0.3">
      <c r="B187" s="20" t="s">
        <v>188</v>
      </c>
      <c r="C187" s="47">
        <f>LE_BRA!C139</f>
        <v>11.720252633575019</v>
      </c>
      <c r="D187" s="60">
        <f>LE_IND!C139</f>
        <v>11.222480519143751</v>
      </c>
      <c r="E187" s="50">
        <f>LE_ZAF!C139</f>
        <v>10.507191221554063</v>
      </c>
      <c r="G187" s="20" t="s">
        <v>588</v>
      </c>
      <c r="H187" s="47">
        <f>LE_BRA!AD139</f>
        <v>11.57530949797971</v>
      </c>
      <c r="I187" s="60">
        <f>LE_IND!AD139</f>
        <v>11.056034961037945</v>
      </c>
      <c r="J187" s="50">
        <f>LE_ZAF!AD139</f>
        <v>10.282829335595396</v>
      </c>
      <c r="L187" s="20" t="s">
        <v>988</v>
      </c>
      <c r="M187" s="47">
        <f t="shared" si="2"/>
        <v>0.1449431355953088</v>
      </c>
      <c r="N187" s="60">
        <f t="shared" si="2"/>
        <v>0.16644555810580641</v>
      </c>
      <c r="O187" s="50">
        <f t="shared" si="2"/>
        <v>0.22436188595866646</v>
      </c>
    </row>
    <row r="188" spans="2:15" x14ac:dyDescent="0.3">
      <c r="B188" s="20" t="s">
        <v>189</v>
      </c>
      <c r="C188" s="47">
        <f>LE_BRA!C140</f>
        <v>11.256545269835394</v>
      </c>
      <c r="D188" s="60">
        <f>LE_IND!C140</f>
        <v>10.642265185799307</v>
      </c>
      <c r="E188" s="50">
        <f>LE_ZAF!C140</f>
        <v>9.9531482792171886</v>
      </c>
      <c r="G188" s="20" t="s">
        <v>589</v>
      </c>
      <c r="H188" s="47">
        <f>LE_BRA!AD140</f>
        <v>11.087960252067598</v>
      </c>
      <c r="I188" s="60">
        <f>LE_IND!AD140</f>
        <v>10.448360166795894</v>
      </c>
      <c r="J188" s="50">
        <f>LE_ZAF!AD140</f>
        <v>9.7098534658764599</v>
      </c>
      <c r="L188" s="20" t="s">
        <v>989</v>
      </c>
      <c r="M188" s="47">
        <f t="shared" si="2"/>
        <v>0.16858501776779633</v>
      </c>
      <c r="N188" s="60">
        <f t="shared" si="2"/>
        <v>0.19390501900341306</v>
      </c>
      <c r="O188" s="50">
        <f t="shared" si="2"/>
        <v>0.24329481334072867</v>
      </c>
    </row>
    <row r="189" spans="2:15" x14ac:dyDescent="0.3">
      <c r="B189" s="20" t="s">
        <v>190</v>
      </c>
      <c r="C189" s="47">
        <f>LE_BRA!C141</f>
        <v>10.70448002901963</v>
      </c>
      <c r="D189" s="60">
        <f>LE_IND!C141</f>
        <v>9.9542781797264404</v>
      </c>
      <c r="E189" s="50">
        <f>LE_ZAF!C141</f>
        <v>9.3215480622436147</v>
      </c>
      <c r="G189" s="20" t="s">
        <v>590</v>
      </c>
      <c r="H189" s="47">
        <f>LE_BRA!AD141</f>
        <v>10.5101060074392</v>
      </c>
      <c r="I189" s="60">
        <f>LE_IND!AD141</f>
        <v>9.7308152851598138</v>
      </c>
      <c r="J189" s="50">
        <f>LE_ZAF!AD141</f>
        <v>9.0610890004812408</v>
      </c>
      <c r="L189" s="20" t="s">
        <v>990</v>
      </c>
      <c r="M189" s="47">
        <f t="shared" si="2"/>
        <v>0.19437402158042971</v>
      </c>
      <c r="N189" s="60">
        <f t="shared" si="2"/>
        <v>0.2234628945666266</v>
      </c>
      <c r="O189" s="50">
        <f t="shared" si="2"/>
        <v>0.26045906176237388</v>
      </c>
    </row>
    <row r="190" spans="2:15" x14ac:dyDescent="0.3">
      <c r="B190" s="20" t="s">
        <v>191</v>
      </c>
      <c r="C190" s="47">
        <f>LE_BRA!C142</f>
        <v>10.062081183738499</v>
      </c>
      <c r="D190" s="60">
        <f>LE_IND!C142</f>
        <v>9.1662158324671861</v>
      </c>
      <c r="E190" s="50">
        <f>LE_ZAF!C142</f>
        <v>8.6008127950234741</v>
      </c>
      <c r="G190" s="20" t="s">
        <v>591</v>
      </c>
      <c r="H190" s="47">
        <f>LE_BRA!AD142</f>
        <v>9.8414302145267083</v>
      </c>
      <c r="I190" s="60">
        <f>LE_IND!AD142</f>
        <v>8.914000845420782</v>
      </c>
      <c r="J190" s="50">
        <f>LE_ZAF!AD142</f>
        <v>8.3256791762811151</v>
      </c>
      <c r="L190" s="20" t="s">
        <v>991</v>
      </c>
      <c r="M190" s="47">
        <f t="shared" si="2"/>
        <v>0.22065096921179084</v>
      </c>
      <c r="N190" s="60">
        <f t="shared" si="2"/>
        <v>0.2522149870464041</v>
      </c>
      <c r="O190" s="50">
        <f t="shared" si="2"/>
        <v>0.27513361874235898</v>
      </c>
    </row>
    <row r="191" spans="2:15" x14ac:dyDescent="0.3">
      <c r="B191" s="20" t="s">
        <v>192</v>
      </c>
      <c r="C191" s="47">
        <f>LE_BRA!C143</f>
        <v>9.3198017422734214</v>
      </c>
      <c r="D191" s="60">
        <f>LE_IND!C143</f>
        <v>8.2918596081556846</v>
      </c>
      <c r="E191" s="50">
        <f>LE_ZAF!C143</f>
        <v>7.7748292410062758</v>
      </c>
      <c r="G191" s="20" t="s">
        <v>592</v>
      </c>
      <c r="H191" s="47">
        <f>LE_BRA!AD143</f>
        <v>9.0732919344286191</v>
      </c>
      <c r="I191" s="60">
        <f>LE_IND!AD143</f>
        <v>8.0150915921914425</v>
      </c>
      <c r="J191" s="50">
        <f>LE_ZAF!AD143</f>
        <v>7.4879136527059442</v>
      </c>
      <c r="L191" s="20" t="s">
        <v>992</v>
      </c>
      <c r="M191" s="47">
        <f t="shared" si="2"/>
        <v>0.24650980784480225</v>
      </c>
      <c r="N191" s="60">
        <f t="shared" si="2"/>
        <v>0.27676801596424205</v>
      </c>
      <c r="O191" s="50">
        <f t="shared" si="2"/>
        <v>0.28691558830033159</v>
      </c>
    </row>
    <row r="192" spans="2:15" x14ac:dyDescent="0.3">
      <c r="B192" s="20" t="s">
        <v>193</v>
      </c>
      <c r="C192" s="47">
        <f>LE_BRA!C144</f>
        <v>8.4777801677836564</v>
      </c>
      <c r="D192" s="60">
        <f>LE_IND!C144</f>
        <v>7.3316137866114435</v>
      </c>
      <c r="E192" s="50">
        <f>LE_ZAF!C144</f>
        <v>6.8376059908283615</v>
      </c>
      <c r="G192" s="20" t="s">
        <v>593</v>
      </c>
      <c r="H192" s="47">
        <f>LE_BRA!AD144</f>
        <v>8.2078398937815962</v>
      </c>
      <c r="I192" s="60">
        <f>LE_IND!AD144</f>
        <v>7.0359004381301977</v>
      </c>
      <c r="J192" s="50">
        <f>LE_ZAF!AD144</f>
        <v>6.5429809820554539</v>
      </c>
      <c r="L192" s="20" t="s">
        <v>993</v>
      </c>
      <c r="M192" s="47">
        <f t="shared" si="2"/>
        <v>0.26994027400206022</v>
      </c>
      <c r="N192" s="60">
        <f t="shared" si="2"/>
        <v>0.29571334848124575</v>
      </c>
      <c r="O192" s="50">
        <f t="shared" si="2"/>
        <v>0.29462500877290765</v>
      </c>
    </row>
    <row r="193" spans="2:15" x14ac:dyDescent="0.3">
      <c r="B193" s="20" t="s">
        <v>194</v>
      </c>
      <c r="C193" s="47">
        <f>LE_BRA!C145</f>
        <v>7.5521731377209118</v>
      </c>
      <c r="D193" s="60">
        <f>LE_IND!C145</f>
        <v>6.3059278587343242</v>
      </c>
      <c r="E193" s="50">
        <f>LE_ZAF!C145</f>
        <v>5.8180443231850889</v>
      </c>
      <c r="G193" s="20" t="s">
        <v>594</v>
      </c>
      <c r="H193" s="47">
        <f>LE_BRA!AD145</f>
        <v>7.2647117621157911</v>
      </c>
      <c r="I193" s="60">
        <f>LE_IND!AD145</f>
        <v>5.9992916537203209</v>
      </c>
      <c r="J193" s="50">
        <f>LE_ZAF!AD145</f>
        <v>5.5236321239483948</v>
      </c>
      <c r="L193" s="20" t="s">
        <v>994</v>
      </c>
      <c r="M193" s="47">
        <f t="shared" si="2"/>
        <v>0.28746137560512075</v>
      </c>
      <c r="N193" s="60">
        <f t="shared" si="2"/>
        <v>0.30663620501400324</v>
      </c>
      <c r="O193" s="50">
        <f t="shared" si="2"/>
        <v>0.29441219923669415</v>
      </c>
    </row>
    <row r="194" spans="2:15" x14ac:dyDescent="0.3">
      <c r="B194" s="20" t="s">
        <v>195</v>
      </c>
      <c r="C194" s="47">
        <f>LE_BRA!C146</f>
        <v>6.5518212070294748</v>
      </c>
      <c r="D194" s="60">
        <f>LE_IND!C146</f>
        <v>5.271324205982105</v>
      </c>
      <c r="E194" s="50">
        <f>LE_ZAF!C146</f>
        <v>4.755763792448926</v>
      </c>
      <c r="G194" s="20" t="s">
        <v>595</v>
      </c>
      <c r="H194" s="47">
        <f>LE_BRA!AD146</f>
        <v>6.2548697904164934</v>
      </c>
      <c r="I194" s="60">
        <f>LE_IND!AD146</f>
        <v>4.9655451432307904</v>
      </c>
      <c r="J194" s="50">
        <f>LE_ZAF!AD146</f>
        <v>4.4726734345813961</v>
      </c>
      <c r="L194" s="20" t="s">
        <v>995</v>
      </c>
      <c r="M194" s="47">
        <f t="shared" si="2"/>
        <v>0.29695141661298141</v>
      </c>
      <c r="N194" s="60">
        <f t="shared" si="2"/>
        <v>0.30577906275131461</v>
      </c>
      <c r="O194" s="50">
        <f t="shared" si="2"/>
        <v>0.2830903578675299</v>
      </c>
    </row>
    <row r="195" spans="2:15" x14ac:dyDescent="0.3">
      <c r="B195" s="20" t="s">
        <v>196</v>
      </c>
      <c r="C195" s="47">
        <f>LE_BRA!C147</f>
        <v>5.0654942331391828</v>
      </c>
      <c r="D195" s="60">
        <f>LE_IND!C147</f>
        <v>3.8614982527852542</v>
      </c>
      <c r="E195" s="50">
        <f>LE_ZAF!C147</f>
        <v>3.2429610583825275</v>
      </c>
      <c r="G195" s="20" t="s">
        <v>596</v>
      </c>
      <c r="H195" s="47">
        <f>LE_BRA!AD147</f>
        <v>4.7725443773771801</v>
      </c>
      <c r="I195" s="60">
        <f>LE_IND!AD147</f>
        <v>3.5763621384269775</v>
      </c>
      <c r="J195" s="50">
        <f>LE_ZAF!AD147</f>
        <v>2.9938801944246696</v>
      </c>
      <c r="L195" s="20" t="s">
        <v>996</v>
      </c>
      <c r="M195" s="47">
        <f t="shared" si="2"/>
        <v>0.29294985576200272</v>
      </c>
      <c r="N195" s="60">
        <f t="shared" si="2"/>
        <v>0.28513611435827668</v>
      </c>
      <c r="O195" s="50">
        <f t="shared" si="2"/>
        <v>0.24908086395785789</v>
      </c>
    </row>
    <row r="196" spans="2:15" x14ac:dyDescent="0.3">
      <c r="B196" s="20" t="s">
        <v>197</v>
      </c>
      <c r="C196" s="47">
        <f>LE_BRA!C148</f>
        <v>12.721923863346287</v>
      </c>
      <c r="D196" s="60">
        <f>LE_IND!C148</f>
        <v>12.595886355870173</v>
      </c>
      <c r="E196" s="50">
        <f>LE_ZAF!C148</f>
        <v>12.376981618273941</v>
      </c>
      <c r="G196" s="20" t="s">
        <v>597</v>
      </c>
      <c r="H196" s="47">
        <f>LE_BRA!AD148</f>
        <v>12.680886768079985</v>
      </c>
      <c r="I196" s="60">
        <f>LE_IND!AD148</f>
        <v>12.545848400920624</v>
      </c>
      <c r="J196" s="50">
        <f>LE_ZAF!AD148</f>
        <v>12.305819753629493</v>
      </c>
      <c r="L196" s="20" t="s">
        <v>997</v>
      </c>
      <c r="M196" s="47">
        <f t="shared" si="2"/>
        <v>4.1037095266302615E-2</v>
      </c>
      <c r="N196" s="60">
        <f t="shared" si="2"/>
        <v>5.0037954949548435E-2</v>
      </c>
      <c r="O196" s="50">
        <f t="shared" si="2"/>
        <v>7.1161864644448514E-2</v>
      </c>
    </row>
    <row r="197" spans="2:15" x14ac:dyDescent="0.3">
      <c r="B197" s="20" t="s">
        <v>198</v>
      </c>
      <c r="C197" s="47">
        <f>LE_BRA!C149</f>
        <v>12.606260731513846</v>
      </c>
      <c r="D197" s="60">
        <f>LE_IND!C149</f>
        <v>12.487864478592662</v>
      </c>
      <c r="E197" s="50">
        <f>LE_ZAF!C149</f>
        <v>12.224772827274311</v>
      </c>
      <c r="G197" s="20" t="s">
        <v>598</v>
      </c>
      <c r="H197" s="47">
        <f>LE_BRA!AD149</f>
        <v>12.556664560107444</v>
      </c>
      <c r="I197" s="60">
        <f>LE_IND!AD149</f>
        <v>12.43251793860523</v>
      </c>
      <c r="J197" s="50">
        <f>LE_ZAF!AD149</f>
        <v>12.144502887483032</v>
      </c>
      <c r="L197" s="20" t="s">
        <v>998</v>
      </c>
      <c r="M197" s="47">
        <f t="shared" si="2"/>
        <v>4.9596171406401268E-2</v>
      </c>
      <c r="N197" s="60">
        <f t="shared" si="2"/>
        <v>5.5346539987432664E-2</v>
      </c>
      <c r="O197" s="50">
        <f t="shared" si="2"/>
        <v>8.0269939791278944E-2</v>
      </c>
    </row>
    <row r="198" spans="2:15" x14ac:dyDescent="0.3">
      <c r="B198" s="20" t="s">
        <v>199</v>
      </c>
      <c r="C198" s="47">
        <f>LE_BRA!C150</f>
        <v>12.450725837990872</v>
      </c>
      <c r="D198" s="60">
        <f>LE_IND!C150</f>
        <v>12.317376057815338</v>
      </c>
      <c r="E198" s="50">
        <f>LE_ZAF!C150</f>
        <v>11.990389006084239</v>
      </c>
      <c r="G198" s="20" t="s">
        <v>599</v>
      </c>
      <c r="H198" s="47">
        <f>LE_BRA!AD150</f>
        <v>12.389114758687519</v>
      </c>
      <c r="I198" s="60">
        <f>LE_IND!AD150</f>
        <v>12.250808519373795</v>
      </c>
      <c r="J198" s="50">
        <f>LE_ZAF!AD150</f>
        <v>11.893089387175552</v>
      </c>
      <c r="L198" s="20" t="s">
        <v>999</v>
      </c>
      <c r="M198" s="47">
        <f t="shared" si="2"/>
        <v>6.1611079303352412E-2</v>
      </c>
      <c r="N198" s="60">
        <f t="shared" si="2"/>
        <v>6.6567538441542951E-2</v>
      </c>
      <c r="O198" s="50">
        <f t="shared" si="2"/>
        <v>9.7299618908687435E-2</v>
      </c>
    </row>
    <row r="199" spans="2:15" x14ac:dyDescent="0.3">
      <c r="B199" s="20" t="s">
        <v>200</v>
      </c>
      <c r="C199" s="47">
        <f>LE_BRA!C151</f>
        <v>12.268880684872427</v>
      </c>
      <c r="D199" s="60">
        <f>LE_IND!C151</f>
        <v>12.103502392731665</v>
      </c>
      <c r="E199" s="50">
        <f>LE_ZAF!C151</f>
        <v>11.69510544173022</v>
      </c>
      <c r="G199" s="20" t="s">
        <v>600</v>
      </c>
      <c r="H199" s="47">
        <f>LE_BRA!AD151</f>
        <v>12.194142939578617</v>
      </c>
      <c r="I199" s="60">
        <f>LE_IND!AD151</f>
        <v>12.023067013472048</v>
      </c>
      <c r="J199" s="50">
        <f>LE_ZAF!AD151</f>
        <v>11.576483461606445</v>
      </c>
      <c r="L199" s="20" t="s">
        <v>1000</v>
      </c>
      <c r="M199" s="47">
        <f t="shared" si="2"/>
        <v>7.473774529380961E-2</v>
      </c>
      <c r="N199" s="60">
        <f t="shared" si="2"/>
        <v>8.0435379259617079E-2</v>
      </c>
      <c r="O199" s="50">
        <f t="shared" si="2"/>
        <v>0.11862198012377512</v>
      </c>
    </row>
    <row r="200" spans="2:15" x14ac:dyDescent="0.3">
      <c r="B200" s="20" t="s">
        <v>201</v>
      </c>
      <c r="C200" s="47">
        <f>LE_BRA!C152</f>
        <v>12.071407972561843</v>
      </c>
      <c r="D200" s="60">
        <f>LE_IND!C152</f>
        <v>11.849135873827347</v>
      </c>
      <c r="E200" s="50">
        <f>LE_ZAF!C152</f>
        <v>11.34781723119813</v>
      </c>
      <c r="G200" s="20" t="s">
        <v>601</v>
      </c>
      <c r="H200" s="47">
        <f>LE_BRA!AD152</f>
        <v>11.984468605921165</v>
      </c>
      <c r="I200" s="60">
        <f>LE_IND!AD152</f>
        <v>11.753398388649964</v>
      </c>
      <c r="J200" s="50">
        <f>LE_ZAF!AD152</f>
        <v>11.205631453415785</v>
      </c>
      <c r="L200" s="20" t="s">
        <v>1001</v>
      </c>
      <c r="M200" s="47">
        <f t="shared" si="2"/>
        <v>8.6939366640677918E-2</v>
      </c>
      <c r="N200" s="60">
        <f t="shared" si="2"/>
        <v>9.5737485177382453E-2</v>
      </c>
      <c r="O200" s="50">
        <f t="shared" si="2"/>
        <v>0.14218577778234476</v>
      </c>
    </row>
    <row r="201" spans="2:15" x14ac:dyDescent="0.3">
      <c r="B201" s="20" t="s">
        <v>202</v>
      </c>
      <c r="C201" s="47">
        <f>LE_BRA!C153</f>
        <v>11.836770756523373</v>
      </c>
      <c r="D201" s="60">
        <f>LE_IND!C153</f>
        <v>11.540906987064142</v>
      </c>
      <c r="E201" s="50">
        <f>LE_ZAF!C153</f>
        <v>10.951967447333441</v>
      </c>
      <c r="G201" s="20" t="s">
        <v>602</v>
      </c>
      <c r="H201" s="47">
        <f>LE_BRA!AD153</f>
        <v>11.736463741329917</v>
      </c>
      <c r="I201" s="60">
        <f>LE_IND!AD153</f>
        <v>11.427682707787989</v>
      </c>
      <c r="J201" s="50">
        <f>LE_ZAF!AD153</f>
        <v>10.785388260974511</v>
      </c>
      <c r="L201" s="20" t="s">
        <v>1002</v>
      </c>
      <c r="M201" s="47">
        <f t="shared" si="2"/>
        <v>0.10030701519345619</v>
      </c>
      <c r="N201" s="60">
        <f t="shared" si="2"/>
        <v>0.11322427927615308</v>
      </c>
      <c r="O201" s="50">
        <f t="shared" si="2"/>
        <v>0.16657918635893054</v>
      </c>
    </row>
    <row r="202" spans="2:15" x14ac:dyDescent="0.3">
      <c r="B202" s="20" t="s">
        <v>203</v>
      </c>
      <c r="C202" s="47">
        <f>LE_BRA!C154</f>
        <v>11.539992061098568</v>
      </c>
      <c r="D202" s="60">
        <f>LE_IND!C154</f>
        <v>11.160373910372808</v>
      </c>
      <c r="E202" s="50">
        <f>LE_ZAF!C154</f>
        <v>10.509088970169222</v>
      </c>
      <c r="G202" s="20" t="s">
        <v>603</v>
      </c>
      <c r="H202" s="47">
        <f>LE_BRA!AD154</f>
        <v>11.422832791509869</v>
      </c>
      <c r="I202" s="60">
        <f>LE_IND!AD154</f>
        <v>11.02631683135149</v>
      </c>
      <c r="J202" s="50">
        <f>LE_ZAF!AD154</f>
        <v>10.31855819920052</v>
      </c>
      <c r="L202" s="20" t="s">
        <v>1003</v>
      </c>
      <c r="M202" s="47">
        <f t="shared" si="2"/>
        <v>0.11715926958869893</v>
      </c>
      <c r="N202" s="60">
        <f t="shared" si="2"/>
        <v>0.1340570790213178</v>
      </c>
      <c r="O202" s="50">
        <f t="shared" si="2"/>
        <v>0.19053077096870119</v>
      </c>
    </row>
    <row r="203" spans="2:15" x14ac:dyDescent="0.3">
      <c r="B203" s="20" t="s">
        <v>204</v>
      </c>
      <c r="C203" s="47">
        <f>LE_BRA!C155</f>
        <v>11.176668396923954</v>
      </c>
      <c r="D203" s="60">
        <f>LE_IND!C155</f>
        <v>10.700015940608475</v>
      </c>
      <c r="E203" s="50">
        <f>LE_ZAF!C155</f>
        <v>10.024663621798993</v>
      </c>
      <c r="G203" s="20" t="s">
        <v>604</v>
      </c>
      <c r="H203" s="47">
        <f>LE_BRA!AD155</f>
        <v>11.039788137207246</v>
      </c>
      <c r="I203" s="60">
        <f>LE_IND!AD155</f>
        <v>10.542300215310096</v>
      </c>
      <c r="J203" s="50">
        <f>LE_ZAF!AD155</f>
        <v>9.8124756158745878</v>
      </c>
      <c r="L203" s="20" t="s">
        <v>1004</v>
      </c>
      <c r="M203" s="47">
        <f t="shared" si="2"/>
        <v>0.13688025971670825</v>
      </c>
      <c r="N203" s="60">
        <f t="shared" si="2"/>
        <v>0.15771572529837918</v>
      </c>
      <c r="O203" s="50">
        <f t="shared" si="2"/>
        <v>0.21218800592440523</v>
      </c>
    </row>
    <row r="204" spans="2:15" x14ac:dyDescent="0.3">
      <c r="B204" s="20" t="s">
        <v>205</v>
      </c>
      <c r="C204" s="47">
        <f>LE_BRA!C156</f>
        <v>10.736987610999114</v>
      </c>
      <c r="D204" s="60">
        <f>LE_IND!C156</f>
        <v>10.149014436568795</v>
      </c>
      <c r="E204" s="50">
        <f>LE_ZAF!C156</f>
        <v>9.4957277018533688</v>
      </c>
      <c r="G204" s="20" t="s">
        <v>605</v>
      </c>
      <c r="H204" s="47">
        <f>LE_BRA!AD156</f>
        <v>10.577672239980632</v>
      </c>
      <c r="I204" s="60">
        <f>LE_IND!AD156</f>
        <v>9.9651767769589696</v>
      </c>
      <c r="J204" s="50">
        <f>LE_ZAF!AD156</f>
        <v>9.2652805367438482</v>
      </c>
      <c r="L204" s="20" t="s">
        <v>1005</v>
      </c>
      <c r="M204" s="47">
        <f t="shared" si="2"/>
        <v>0.15931537101848114</v>
      </c>
      <c r="N204" s="60">
        <f t="shared" si="2"/>
        <v>0.18383765960982501</v>
      </c>
      <c r="O204" s="50">
        <f t="shared" si="2"/>
        <v>0.23044716510952057</v>
      </c>
    </row>
    <row r="205" spans="2:15" x14ac:dyDescent="0.3">
      <c r="B205" s="20" t="s">
        <v>206</v>
      </c>
      <c r="C205" s="47">
        <f>LE_BRA!C157</f>
        <v>10.213256840281314</v>
      </c>
      <c r="D205" s="60">
        <f>LE_IND!C157</f>
        <v>9.4954665801692943</v>
      </c>
      <c r="E205" s="50">
        <f>LE_ZAF!C157</f>
        <v>8.8925309481604398</v>
      </c>
      <c r="G205" s="20" t="s">
        <v>606</v>
      </c>
      <c r="H205" s="47">
        <f>LE_BRA!AD157</f>
        <v>10.02944685153728</v>
      </c>
      <c r="I205" s="60">
        <f>LE_IND!AD157</f>
        <v>9.2834928918817177</v>
      </c>
      <c r="J205" s="50">
        <f>LE_ZAF!AD157</f>
        <v>8.6454704730341003</v>
      </c>
      <c r="L205" s="20" t="s">
        <v>1006</v>
      </c>
      <c r="M205" s="47">
        <f t="shared" si="2"/>
        <v>0.18380998874403431</v>
      </c>
      <c r="N205" s="60">
        <f t="shared" si="2"/>
        <v>0.21197368828757668</v>
      </c>
      <c r="O205" s="50">
        <f t="shared" si="2"/>
        <v>0.24706047512633944</v>
      </c>
    </row>
    <row r="206" spans="2:15" x14ac:dyDescent="0.3">
      <c r="B206" s="20" t="s">
        <v>207</v>
      </c>
      <c r="C206" s="47">
        <f>LE_BRA!C158</f>
        <v>9.6033415044451935</v>
      </c>
      <c r="D206" s="60">
        <f>LE_IND!C158</f>
        <v>8.7463996489177802</v>
      </c>
      <c r="E206" s="50">
        <f>LE_ZAF!C158</f>
        <v>8.2043203670154004</v>
      </c>
      <c r="G206" s="20" t="s">
        <v>607</v>
      </c>
      <c r="H206" s="47">
        <f>LE_BRA!AD158</f>
        <v>9.3945313797407852</v>
      </c>
      <c r="I206" s="60">
        <f>LE_IND!AD158</f>
        <v>8.507014399339786</v>
      </c>
      <c r="J206" s="50">
        <f>LE_ZAF!AD158</f>
        <v>7.9430096958852614</v>
      </c>
      <c r="L206" s="20" t="s">
        <v>1007</v>
      </c>
      <c r="M206" s="47">
        <f t="shared" si="2"/>
        <v>0.2088101247044083</v>
      </c>
      <c r="N206" s="60">
        <f t="shared" si="2"/>
        <v>0.23938524957799423</v>
      </c>
      <c r="O206" s="50">
        <f t="shared" si="2"/>
        <v>0.26131067113013895</v>
      </c>
    </row>
    <row r="207" spans="2:15" x14ac:dyDescent="0.3">
      <c r="B207" s="20" t="s">
        <v>208</v>
      </c>
      <c r="C207" s="47">
        <f>LE_BRA!C159</f>
        <v>8.8979776625834273</v>
      </c>
      <c r="D207" s="60">
        <f>LE_IND!C159</f>
        <v>7.9145829127197809</v>
      </c>
      <c r="E207" s="50">
        <f>LE_ZAF!C159</f>
        <v>7.4160831749442364</v>
      </c>
      <c r="G207" s="20" t="s">
        <v>608</v>
      </c>
      <c r="H207" s="47">
        <f>LE_BRA!AD159</f>
        <v>8.6645140094469326</v>
      </c>
      <c r="I207" s="60">
        <f>LE_IND!AD159</f>
        <v>7.6517174425857046</v>
      </c>
      <c r="J207" s="50">
        <f>LE_ZAF!AD159</f>
        <v>7.1433025220768069</v>
      </c>
      <c r="L207" s="20" t="s">
        <v>1008</v>
      </c>
      <c r="M207" s="47">
        <f t="shared" si="2"/>
        <v>0.23346365313649464</v>
      </c>
      <c r="N207" s="60">
        <f t="shared" si="2"/>
        <v>0.26286547013407624</v>
      </c>
      <c r="O207" s="50">
        <f t="shared" si="2"/>
        <v>0.27278065286742947</v>
      </c>
    </row>
    <row r="208" spans="2:15" x14ac:dyDescent="0.3">
      <c r="B208" s="20" t="s">
        <v>209</v>
      </c>
      <c r="C208" s="47">
        <f>LE_BRA!C160</f>
        <v>8.0969508805247319</v>
      </c>
      <c r="D208" s="60">
        <f>LE_IND!C160</f>
        <v>7.0003384420307819</v>
      </c>
      <c r="E208" s="50">
        <f>LE_ZAF!C160</f>
        <v>6.5222653553190515</v>
      </c>
      <c r="G208" s="20" t="s">
        <v>609</v>
      </c>
      <c r="H208" s="47">
        <f>LE_BRA!AD160</f>
        <v>7.8410768504839803</v>
      </c>
      <c r="I208" s="60">
        <f>LE_IND!AD160</f>
        <v>6.7192822986591372</v>
      </c>
      <c r="J208" s="50">
        <f>LE_ZAF!AD160</f>
        <v>6.2419366662483364</v>
      </c>
      <c r="L208" s="20" t="s">
        <v>1009</v>
      </c>
      <c r="M208" s="47">
        <f t="shared" si="2"/>
        <v>0.2558740300407516</v>
      </c>
      <c r="N208" s="60">
        <f t="shared" si="2"/>
        <v>0.28105614337164475</v>
      </c>
      <c r="O208" s="50">
        <f t="shared" si="2"/>
        <v>0.28032868907071506</v>
      </c>
    </row>
    <row r="209" spans="2:15" x14ac:dyDescent="0.3">
      <c r="B209" s="20" t="s">
        <v>210</v>
      </c>
      <c r="C209" s="47">
        <f>LE_BRA!C161</f>
        <v>7.215099151762101</v>
      </c>
      <c r="D209" s="60">
        <f>LE_IND!C161</f>
        <v>6.022845089213531</v>
      </c>
      <c r="E209" s="50">
        <f>LE_ZAF!C161</f>
        <v>5.5500986803719634</v>
      </c>
      <c r="G209" s="20" t="s">
        <v>610</v>
      </c>
      <c r="H209" s="47">
        <f>LE_BRA!AD161</f>
        <v>6.9423487019971653</v>
      </c>
      <c r="I209" s="60">
        <f>LE_IND!AD161</f>
        <v>5.7311935712700013</v>
      </c>
      <c r="J209" s="50">
        <f>LE_ZAF!AD161</f>
        <v>5.2697866217640525</v>
      </c>
      <c r="L209" s="20" t="s">
        <v>1010</v>
      </c>
      <c r="M209" s="47">
        <f t="shared" si="2"/>
        <v>0.27275044976493579</v>
      </c>
      <c r="N209" s="60">
        <f t="shared" si="2"/>
        <v>0.29165151794352973</v>
      </c>
      <c r="O209" s="50">
        <f t="shared" si="2"/>
        <v>0.28031205860791086</v>
      </c>
    </row>
    <row r="210" spans="2:15" x14ac:dyDescent="0.3">
      <c r="B210" s="20" t="s">
        <v>211</v>
      </c>
      <c r="C210" s="47">
        <f>LE_BRA!C162</f>
        <v>6.2607677354592708</v>
      </c>
      <c r="D210" s="60">
        <f>LE_IND!C162</f>
        <v>5.035690992093679</v>
      </c>
      <c r="E210" s="50">
        <f>LE_ZAF!C162</f>
        <v>4.5373090410129864</v>
      </c>
      <c r="G210" s="20" t="s">
        <v>611</v>
      </c>
      <c r="H210" s="47">
        <f>LE_BRA!AD162</f>
        <v>5.9787280473759603</v>
      </c>
      <c r="I210" s="60">
        <f>LE_IND!AD162</f>
        <v>4.7446476776367241</v>
      </c>
      <c r="J210" s="50">
        <f>LE_ZAF!AD162</f>
        <v>4.2676142614772239</v>
      </c>
      <c r="L210" s="20" t="s">
        <v>1011</v>
      </c>
      <c r="M210" s="47">
        <f t="shared" si="2"/>
        <v>0.28203968808331048</v>
      </c>
      <c r="N210" s="60">
        <f t="shared" si="2"/>
        <v>0.29104331445695486</v>
      </c>
      <c r="O210" s="50">
        <f t="shared" si="2"/>
        <v>0.26969477953576249</v>
      </c>
    </row>
    <row r="211" spans="2:15" x14ac:dyDescent="0.3">
      <c r="B211" s="20" t="s">
        <v>212</v>
      </c>
      <c r="C211" s="47">
        <f>LE_BRA!C163</f>
        <v>4.8407527019588059</v>
      </c>
      <c r="D211" s="60">
        <f>LE_IND!C163</f>
        <v>3.688783735801251</v>
      </c>
      <c r="E211" s="50">
        <f>LE_ZAF!C163</f>
        <v>3.0954445647171118</v>
      </c>
      <c r="G211" s="20" t="s">
        <v>612</v>
      </c>
      <c r="H211" s="47">
        <f>LE_BRA!AD163</f>
        <v>4.562164450411851</v>
      </c>
      <c r="I211" s="60">
        <f>LE_IND!AD163</f>
        <v>3.4171458982368477</v>
      </c>
      <c r="J211" s="50">
        <f>LE_ZAF!AD163</f>
        <v>2.8579671883145004</v>
      </c>
      <c r="L211" s="20" t="s">
        <v>1012</v>
      </c>
      <c r="M211" s="47">
        <f t="shared" si="2"/>
        <v>0.27858825154695488</v>
      </c>
      <c r="N211" s="60">
        <f t="shared" si="2"/>
        <v>0.27163783756440329</v>
      </c>
      <c r="O211" s="50">
        <f t="shared" si="2"/>
        <v>0.23747737640261146</v>
      </c>
    </row>
    <row r="212" spans="2:15" x14ac:dyDescent="0.3">
      <c r="B212" s="20" t="s">
        <v>213</v>
      </c>
      <c r="C212" s="47">
        <f>LE_BRA!C164</f>
        <v>12.121114421536166</v>
      </c>
      <c r="D212" s="60">
        <f>LE_IND!C164</f>
        <v>12.001110612001218</v>
      </c>
      <c r="E212" s="50">
        <f>LE_ZAF!C164</f>
        <v>11.795552008380938</v>
      </c>
      <c r="G212" s="20" t="s">
        <v>613</v>
      </c>
      <c r="H212" s="47">
        <f>LE_BRA!AD164</f>
        <v>12.082550059988813</v>
      </c>
      <c r="I212" s="60">
        <f>LE_IND!AD164</f>
        <v>11.95397824974418</v>
      </c>
      <c r="J212" s="50">
        <f>LE_ZAF!AD164</f>
        <v>11.728614987480563</v>
      </c>
      <c r="L212" s="20" t="s">
        <v>1013</v>
      </c>
      <c r="M212" s="47">
        <f t="shared" si="2"/>
        <v>3.8564361547352988E-2</v>
      </c>
      <c r="N212" s="60">
        <f t="shared" si="2"/>
        <v>4.7132362257038096E-2</v>
      </c>
      <c r="O212" s="50">
        <f t="shared" si="2"/>
        <v>6.6937020900374122E-2</v>
      </c>
    </row>
    <row r="213" spans="2:15" x14ac:dyDescent="0.3">
      <c r="B213" s="20" t="s">
        <v>214</v>
      </c>
      <c r="C213" s="47">
        <f>LE_BRA!C165</f>
        <v>12.011884307841989</v>
      </c>
      <c r="D213" s="60">
        <f>LE_IND!C165</f>
        <v>11.898081533088906</v>
      </c>
      <c r="E213" s="50">
        <f>LE_ZAF!C165</f>
        <v>11.651281279806154</v>
      </c>
      <c r="G213" s="20" t="s">
        <v>614</v>
      </c>
      <c r="H213" s="47">
        <f>LE_BRA!AD165</f>
        <v>11.965250780225167</v>
      </c>
      <c r="I213" s="60">
        <f>LE_IND!AD165</f>
        <v>11.845831881539848</v>
      </c>
      <c r="J213" s="50">
        <f>LE_ZAF!AD165</f>
        <v>11.57570631082492</v>
      </c>
      <c r="L213" s="20" t="s">
        <v>1014</v>
      </c>
      <c r="M213" s="47">
        <f t="shared" si="2"/>
        <v>4.6633527616821269E-2</v>
      </c>
      <c r="N213" s="60">
        <f t="shared" si="2"/>
        <v>5.2249651549058029E-2</v>
      </c>
      <c r="O213" s="50">
        <f t="shared" si="2"/>
        <v>7.5574968981234392E-2</v>
      </c>
    </row>
    <row r="214" spans="2:15" x14ac:dyDescent="0.3">
      <c r="B214" s="20" t="s">
        <v>215</v>
      </c>
      <c r="C214" s="47">
        <f>LE_BRA!C166</f>
        <v>11.8651336566968</v>
      </c>
      <c r="D214" s="60">
        <f>LE_IND!C166</f>
        <v>11.736434930106224</v>
      </c>
      <c r="E214" s="50">
        <f>LE_ZAF!C166</f>
        <v>11.429726979622609</v>
      </c>
      <c r="G214" s="20" t="s">
        <v>615</v>
      </c>
      <c r="H214" s="47">
        <f>LE_BRA!AD166</f>
        <v>11.807189309626546</v>
      </c>
      <c r="I214" s="60">
        <f>LE_IND!AD166</f>
        <v>11.673543464509711</v>
      </c>
      <c r="J214" s="50">
        <f>LE_ZAF!AD166</f>
        <v>11.338083186684482</v>
      </c>
      <c r="L214" s="20" t="s">
        <v>1015</v>
      </c>
      <c r="M214" s="47">
        <f t="shared" si="2"/>
        <v>5.794434707025431E-2</v>
      </c>
      <c r="N214" s="60">
        <f t="shared" si="2"/>
        <v>6.289146559651293E-2</v>
      </c>
      <c r="O214" s="50">
        <f t="shared" si="2"/>
        <v>9.1643792938127078E-2</v>
      </c>
    </row>
    <row r="215" spans="2:15" x14ac:dyDescent="0.3">
      <c r="B215" s="20" t="s">
        <v>216</v>
      </c>
      <c r="C215" s="47">
        <f>LE_BRA!C167</f>
        <v>11.693326864907549</v>
      </c>
      <c r="D215" s="60">
        <f>LE_IND!C167</f>
        <v>11.533694090415972</v>
      </c>
      <c r="E215" s="50">
        <f>LE_ZAF!C167</f>
        <v>11.150601475885031</v>
      </c>
      <c r="G215" s="20" t="s">
        <v>616</v>
      </c>
      <c r="H215" s="47">
        <f>LE_BRA!AD167</f>
        <v>11.623000500576834</v>
      </c>
      <c r="I215" s="60">
        <f>LE_IND!AD167</f>
        <v>11.45765703167709</v>
      </c>
      <c r="J215" s="50">
        <f>LE_ZAF!AD167</f>
        <v>11.038840790308219</v>
      </c>
      <c r="L215" s="20" t="s">
        <v>1016</v>
      </c>
      <c r="M215" s="47">
        <f t="shared" si="2"/>
        <v>7.0326364330714597E-2</v>
      </c>
      <c r="N215" s="60">
        <f t="shared" si="2"/>
        <v>7.6037058738881669E-2</v>
      </c>
      <c r="O215" s="50">
        <f t="shared" si="2"/>
        <v>0.11176068557681162</v>
      </c>
    </row>
    <row r="216" spans="2:15" x14ac:dyDescent="0.3">
      <c r="B216" s="20" t="s">
        <v>217</v>
      </c>
      <c r="C216" s="47">
        <f>LE_BRA!C168</f>
        <v>11.506291310349845</v>
      </c>
      <c r="D216" s="60">
        <f>LE_IND!C168</f>
        <v>11.292441973546749</v>
      </c>
      <c r="E216" s="50">
        <f>LE_ZAF!C168</f>
        <v>10.822000560937864</v>
      </c>
      <c r="G216" s="20" t="s">
        <v>617</v>
      </c>
      <c r="H216" s="47">
        <f>LE_BRA!AD168</f>
        <v>11.424404658454058</v>
      </c>
      <c r="I216" s="60">
        <f>LE_IND!AD168</f>
        <v>11.201885253429113</v>
      </c>
      <c r="J216" s="50">
        <f>LE_ZAF!AD168</f>
        <v>10.687981160599334</v>
      </c>
      <c r="L216" s="20" t="s">
        <v>1017</v>
      </c>
      <c r="M216" s="47">
        <f t="shared" si="2"/>
        <v>8.1886651895786144E-2</v>
      </c>
      <c r="N216" s="60">
        <f t="shared" si="2"/>
        <v>9.0556720117636047E-2</v>
      </c>
      <c r="O216" s="50">
        <f t="shared" si="2"/>
        <v>0.13401940033853066</v>
      </c>
    </row>
    <row r="217" spans="2:15" x14ac:dyDescent="0.3">
      <c r="B217" s="20" t="s">
        <v>218</v>
      </c>
      <c r="C217" s="47">
        <f>LE_BRA!C169</f>
        <v>11.283893638890147</v>
      </c>
      <c r="D217" s="60">
        <f>LE_IND!C169</f>
        <v>11.000006270649095</v>
      </c>
      <c r="E217" s="50">
        <f>LE_ZAF!C169</f>
        <v>10.446734051033269</v>
      </c>
      <c r="G217" s="20" t="s">
        <v>618</v>
      </c>
      <c r="H217" s="47">
        <f>LE_BRA!AD169</f>
        <v>11.1893233511645</v>
      </c>
      <c r="I217" s="60">
        <f>LE_IND!AD169</f>
        <v>10.892845832574334</v>
      </c>
      <c r="J217" s="50">
        <f>LE_ZAF!AD169</f>
        <v>10.289604260324898</v>
      </c>
      <c r="L217" s="20" t="s">
        <v>1018</v>
      </c>
      <c r="M217" s="47">
        <f t="shared" si="2"/>
        <v>9.4570287725646907E-2</v>
      </c>
      <c r="N217" s="60">
        <f t="shared" si="2"/>
        <v>0.10716043807476083</v>
      </c>
      <c r="O217" s="50">
        <f t="shared" si="2"/>
        <v>0.15712979070837108</v>
      </c>
    </row>
    <row r="218" spans="2:15" x14ac:dyDescent="0.3">
      <c r="B218" s="20" t="s">
        <v>219</v>
      </c>
      <c r="C218" s="47">
        <f>LE_BRA!C170</f>
        <v>11.002690740102897</v>
      </c>
      <c r="D218" s="60">
        <f>LE_IND!C170</f>
        <v>10.638911808223797</v>
      </c>
      <c r="E218" s="50">
        <f>LE_ZAF!C170</f>
        <v>10.025850327491055</v>
      </c>
      <c r="G218" s="20" t="s">
        <v>619</v>
      </c>
      <c r="H218" s="47">
        <f>LE_BRA!AD170</f>
        <v>10.89214591022122</v>
      </c>
      <c r="I218" s="60">
        <f>LE_IND!AD170</f>
        <v>10.511965295223851</v>
      </c>
      <c r="J218" s="50">
        <f>LE_ZAF!AD170</f>
        <v>9.8459267951236988</v>
      </c>
      <c r="L218" s="20" t="s">
        <v>1019</v>
      </c>
      <c r="M218" s="47">
        <f t="shared" si="2"/>
        <v>0.11054482988167713</v>
      </c>
      <c r="N218" s="60">
        <f t="shared" si="2"/>
        <v>0.12694651299994675</v>
      </c>
      <c r="O218" s="50">
        <f t="shared" si="2"/>
        <v>0.17992353236735603</v>
      </c>
    </row>
    <row r="219" spans="2:15" x14ac:dyDescent="0.3">
      <c r="B219" s="20" t="s">
        <v>220</v>
      </c>
      <c r="C219" s="47">
        <f>LE_BRA!C171</f>
        <v>10.65834418962524</v>
      </c>
      <c r="D219" s="60">
        <f>LE_IND!C171</f>
        <v>10.201910506359651</v>
      </c>
      <c r="E219" s="50">
        <f>LE_ZAF!C171</f>
        <v>9.564320819620578</v>
      </c>
      <c r="G219" s="20" t="s">
        <v>620</v>
      </c>
      <c r="H219" s="47">
        <f>LE_BRA!AD171</f>
        <v>10.529098656527125</v>
      </c>
      <c r="I219" s="60">
        <f>LE_IND!AD171</f>
        <v>10.052477195325617</v>
      </c>
      <c r="J219" s="50">
        <f>LE_ZAF!AD171</f>
        <v>9.3636660301784165</v>
      </c>
      <c r="L219" s="20" t="s">
        <v>1020</v>
      </c>
      <c r="M219" s="47">
        <f t="shared" si="2"/>
        <v>0.12924553309811415</v>
      </c>
      <c r="N219" s="60">
        <f t="shared" si="2"/>
        <v>0.14943331103403423</v>
      </c>
      <c r="O219" s="50">
        <f t="shared" si="2"/>
        <v>0.20065478944216153</v>
      </c>
    </row>
    <row r="220" spans="2:15" x14ac:dyDescent="0.3">
      <c r="B220" s="20" t="s">
        <v>221</v>
      </c>
      <c r="C220" s="47">
        <f>LE_BRA!C172</f>
        <v>10.241466474721269</v>
      </c>
      <c r="D220" s="60">
        <f>LE_IND!C172</f>
        <v>9.6786659930951373</v>
      </c>
      <c r="E220" s="50">
        <f>LE_ZAF!C172</f>
        <v>9.0593521719324137</v>
      </c>
      <c r="G220" s="20" t="s">
        <v>621</v>
      </c>
      <c r="H220" s="47">
        <f>LE_BRA!AD172</f>
        <v>10.09093324285438</v>
      </c>
      <c r="I220" s="60">
        <f>LE_IND!AD172</f>
        <v>9.5043842568102477</v>
      </c>
      <c r="J220" s="50">
        <f>LE_ZAF!AD172</f>
        <v>8.8410890219988243</v>
      </c>
      <c r="L220" s="20" t="s">
        <v>1021</v>
      </c>
      <c r="M220" s="47">
        <f t="shared" si="2"/>
        <v>0.15053323186688949</v>
      </c>
      <c r="N220" s="60">
        <f t="shared" si="2"/>
        <v>0.17428173628488963</v>
      </c>
      <c r="O220" s="50">
        <f t="shared" si="2"/>
        <v>0.21826314993358942</v>
      </c>
    </row>
    <row r="221" spans="2:15" x14ac:dyDescent="0.3">
      <c r="B221" s="20" t="s">
        <v>222</v>
      </c>
      <c r="C221" s="47">
        <f>LE_BRA!C173</f>
        <v>9.7446381362676586</v>
      </c>
      <c r="D221" s="60">
        <f>LE_IND!C173</f>
        <v>9.0578482750918852</v>
      </c>
      <c r="E221" s="50">
        <f>LE_ZAF!C173</f>
        <v>8.4832802851322935</v>
      </c>
      <c r="G221" s="20" t="s">
        <v>622</v>
      </c>
      <c r="H221" s="47">
        <f>LE_BRA!AD173</f>
        <v>9.5708419548475838</v>
      </c>
      <c r="I221" s="60">
        <f>LE_IND!AD173</f>
        <v>8.856785108764532</v>
      </c>
      <c r="J221" s="50">
        <f>LE_ZAF!AD173</f>
        <v>8.2489393310146664</v>
      </c>
      <c r="L221" s="20" t="s">
        <v>1022</v>
      </c>
      <c r="M221" s="47">
        <f t="shared" si="2"/>
        <v>0.1737961814200748</v>
      </c>
      <c r="N221" s="60">
        <f t="shared" si="2"/>
        <v>0.20106316632735322</v>
      </c>
      <c r="O221" s="50">
        <f t="shared" si="2"/>
        <v>0.23434095411762712</v>
      </c>
    </row>
    <row r="222" spans="2:15" x14ac:dyDescent="0.3">
      <c r="B222" s="20" t="s">
        <v>223</v>
      </c>
      <c r="C222" s="47">
        <f>LE_BRA!C174</f>
        <v>9.165584117965853</v>
      </c>
      <c r="D222" s="60">
        <f>LE_IND!C174</f>
        <v>8.3458605437061255</v>
      </c>
      <c r="E222" s="50">
        <f>LE_ZAF!C174</f>
        <v>7.8261259018148239</v>
      </c>
      <c r="G222" s="20" t="s">
        <v>623</v>
      </c>
      <c r="H222" s="47">
        <f>LE_BRA!AD174</f>
        <v>8.9680045426296644</v>
      </c>
      <c r="I222" s="60">
        <f>LE_IND!AD174</f>
        <v>8.1186648182103696</v>
      </c>
      <c r="J222" s="50">
        <f>LE_ZAF!AD174</f>
        <v>7.5779502299824877</v>
      </c>
      <c r="L222" s="20" t="s">
        <v>1023</v>
      </c>
      <c r="M222" s="47">
        <f t="shared" si="2"/>
        <v>0.19757957533618864</v>
      </c>
      <c r="N222" s="60">
        <f t="shared" si="2"/>
        <v>0.22719572549575595</v>
      </c>
      <c r="O222" s="50">
        <f t="shared" si="2"/>
        <v>0.24817567183233624</v>
      </c>
    </row>
    <row r="223" spans="2:15" x14ac:dyDescent="0.3">
      <c r="B223" s="20" t="s">
        <v>224</v>
      </c>
      <c r="C223" s="47">
        <f>LE_BRA!C175</f>
        <v>8.495316646076196</v>
      </c>
      <c r="D223" s="60">
        <f>LE_IND!C175</f>
        <v>7.5545231087139673</v>
      </c>
      <c r="E223" s="50">
        <f>LE_ZAF!C175</f>
        <v>7.0739094729856173</v>
      </c>
      <c r="G223" s="20" t="s">
        <v>624</v>
      </c>
      <c r="H223" s="47">
        <f>LE_BRA!AD175</f>
        <v>8.2742342429909126</v>
      </c>
      <c r="I223" s="60">
        <f>LE_IND!AD175</f>
        <v>7.3048739363639728</v>
      </c>
      <c r="J223" s="50">
        <f>LE_ZAF!AD175</f>
        <v>6.8145714137561555</v>
      </c>
      <c r="L223" s="20" t="s">
        <v>1024</v>
      </c>
      <c r="M223" s="47">
        <f t="shared" si="2"/>
        <v>0.22108240308528337</v>
      </c>
      <c r="N223" s="60">
        <f t="shared" si="2"/>
        <v>0.24964917234999451</v>
      </c>
      <c r="O223" s="50">
        <f t="shared" si="2"/>
        <v>0.25933805922946185</v>
      </c>
    </row>
    <row r="224" spans="2:15" x14ac:dyDescent="0.3">
      <c r="B224" s="20" t="s">
        <v>225</v>
      </c>
      <c r="C224" s="47">
        <f>LE_BRA!C176</f>
        <v>7.7332985561626071</v>
      </c>
      <c r="D224" s="60">
        <f>LE_IND!C176</f>
        <v>6.6840811056326386</v>
      </c>
      <c r="E224" s="50">
        <f>LE_ZAF!C176</f>
        <v>6.221486293012676</v>
      </c>
      <c r="G224" s="20" t="s">
        <v>625</v>
      </c>
      <c r="H224" s="47">
        <f>LE_BRA!AD176</f>
        <v>7.4907824913750156</v>
      </c>
      <c r="I224" s="60">
        <f>LE_IND!AD176</f>
        <v>6.4169668472919223</v>
      </c>
      <c r="J224" s="50">
        <f>LE_ZAF!AD176</f>
        <v>5.9547626021107476</v>
      </c>
      <c r="L224" s="20" t="s">
        <v>1025</v>
      </c>
      <c r="M224" s="47">
        <f t="shared" si="2"/>
        <v>0.24251606478759147</v>
      </c>
      <c r="N224" s="60">
        <f t="shared" si="2"/>
        <v>0.26711425834071623</v>
      </c>
      <c r="O224" s="50">
        <f t="shared" si="2"/>
        <v>0.26672369090192838</v>
      </c>
    </row>
    <row r="225" spans="2:15" x14ac:dyDescent="0.3">
      <c r="B225" s="20" t="s">
        <v>226</v>
      </c>
      <c r="C225" s="47">
        <f>LE_BRA!C177</f>
        <v>6.8931335447771911</v>
      </c>
      <c r="D225" s="60">
        <f>LE_IND!C177</f>
        <v>5.7525145021895803</v>
      </c>
      <c r="E225" s="50">
        <f>LE_ZAF!C177</f>
        <v>5.2945111084823608</v>
      </c>
      <c r="G225" s="20" t="s">
        <v>626</v>
      </c>
      <c r="H225" s="47">
        <f>LE_BRA!AD177</f>
        <v>6.634363194155724</v>
      </c>
      <c r="I225" s="60">
        <f>LE_IND!AD177</f>
        <v>5.4751249102558219</v>
      </c>
      <c r="J225" s="50">
        <f>LE_ZAF!AD177</f>
        <v>5.0276250833488945</v>
      </c>
      <c r="L225" s="20" t="s">
        <v>1026</v>
      </c>
      <c r="M225" s="47">
        <f t="shared" si="2"/>
        <v>0.25877035062146714</v>
      </c>
      <c r="N225" s="60">
        <f t="shared" si="2"/>
        <v>0.27738959193375834</v>
      </c>
      <c r="O225" s="50">
        <f t="shared" si="2"/>
        <v>0.26688602513346638</v>
      </c>
    </row>
    <row r="226" spans="2:15" x14ac:dyDescent="0.3">
      <c r="B226" s="20" t="s">
        <v>227</v>
      </c>
      <c r="C226" s="47">
        <f>LE_BRA!C178</f>
        <v>5.9826968974702153</v>
      </c>
      <c r="D226" s="60">
        <f>LE_IND!C178</f>
        <v>4.8106257119531497</v>
      </c>
      <c r="E226" s="50">
        <f>LE_ZAF!C178</f>
        <v>4.3289067721199359</v>
      </c>
      <c r="G226" s="20" t="s">
        <v>627</v>
      </c>
      <c r="H226" s="47">
        <f>LE_BRA!AD178</f>
        <v>5.7148381295722688</v>
      </c>
      <c r="I226" s="60">
        <f>LE_IND!AD178</f>
        <v>4.5336151887194154</v>
      </c>
      <c r="J226" s="50">
        <f>LE_ZAF!AD178</f>
        <v>4.0719740227289192</v>
      </c>
      <c r="L226" s="20" t="s">
        <v>1027</v>
      </c>
      <c r="M226" s="47">
        <f t="shared" si="2"/>
        <v>0.26785876789794649</v>
      </c>
      <c r="N226" s="60">
        <f t="shared" si="2"/>
        <v>0.27701052323373432</v>
      </c>
      <c r="O226" s="50">
        <f t="shared" si="2"/>
        <v>0.25693274939101673</v>
      </c>
    </row>
    <row r="227" spans="2:15" x14ac:dyDescent="0.3">
      <c r="B227" s="20" t="s">
        <v>228</v>
      </c>
      <c r="C227" s="47">
        <f>LE_BRA!C179</f>
        <v>4.6260134864599722</v>
      </c>
      <c r="D227" s="60">
        <f>LE_IND!C179</f>
        <v>3.5238140172313295</v>
      </c>
      <c r="E227" s="50">
        <f>LE_ZAF!C179</f>
        <v>2.9546556124364347</v>
      </c>
      <c r="G227" s="20" t="s">
        <v>628</v>
      </c>
      <c r="H227" s="47">
        <f>LE_BRA!AD179</f>
        <v>4.3610939350043241</v>
      </c>
      <c r="I227" s="60">
        <f>LE_IND!AD179</f>
        <v>3.2650393758347218</v>
      </c>
      <c r="J227" s="50">
        <f>LE_ZAF!AD179</f>
        <v>2.7282408520885126</v>
      </c>
      <c r="L227" s="20" t="s">
        <v>1028</v>
      </c>
      <c r="M227" s="47">
        <f t="shared" si="2"/>
        <v>0.26491955145564816</v>
      </c>
      <c r="N227" s="60">
        <f t="shared" si="2"/>
        <v>0.25877464139660766</v>
      </c>
      <c r="O227" s="50">
        <f t="shared" si="2"/>
        <v>0.22641476034792207</v>
      </c>
    </row>
    <row r="228" spans="2:15" x14ac:dyDescent="0.3">
      <c r="B228" s="20" t="s">
        <v>229</v>
      </c>
      <c r="C228" s="47">
        <f>LE_BRA!C180</f>
        <v>11.548692256389565</v>
      </c>
      <c r="D228" s="60">
        <f>LE_IND!C180</f>
        <v>11.434429435926516</v>
      </c>
      <c r="E228" s="50">
        <f>LE_ZAF!C180</f>
        <v>11.241451843964541</v>
      </c>
      <c r="G228" s="20" t="s">
        <v>629</v>
      </c>
      <c r="H228" s="47">
        <f>LE_BRA!AD180</f>
        <v>11.512460975527098</v>
      </c>
      <c r="I228" s="60">
        <f>LE_IND!AD180</f>
        <v>11.390041231791509</v>
      </c>
      <c r="J228" s="50">
        <f>LE_ZAF!AD180</f>
        <v>11.178503072110685</v>
      </c>
      <c r="L228" s="20" t="s">
        <v>1029</v>
      </c>
      <c r="M228" s="47">
        <f t="shared" si="2"/>
        <v>3.6231280862466519E-2</v>
      </c>
      <c r="N228" s="60">
        <f t="shared" si="2"/>
        <v>4.4388204135007214E-2</v>
      </c>
      <c r="O228" s="50">
        <f t="shared" si="2"/>
        <v>6.2948771853855945E-2</v>
      </c>
    </row>
    <row r="229" spans="2:15" x14ac:dyDescent="0.3">
      <c r="B229" s="20" t="s">
        <v>230</v>
      </c>
      <c r="C229" s="47">
        <f>LE_BRA!C181</f>
        <v>11.445548616536547</v>
      </c>
      <c r="D229" s="60">
        <f>LE_IND!C181</f>
        <v>11.336164629512846</v>
      </c>
      <c r="E229" s="50">
        <f>LE_ZAF!C181</f>
        <v>11.104712226387516</v>
      </c>
      <c r="G229" s="20" t="s">
        <v>630</v>
      </c>
      <c r="H229" s="47">
        <f>LE_BRA!AD181</f>
        <v>11.401711511313511</v>
      </c>
      <c r="I229" s="60">
        <f>LE_IND!AD181</f>
        <v>11.286844478905238</v>
      </c>
      <c r="J229" s="50">
        <f>LE_ZAF!AD181</f>
        <v>11.033572266372605</v>
      </c>
      <c r="L229" s="20" t="s">
        <v>1030</v>
      </c>
      <c r="M229" s="47">
        <f t="shared" si="2"/>
        <v>4.3837105223035522E-2</v>
      </c>
      <c r="N229" s="60">
        <f t="shared" si="2"/>
        <v>4.9320150607607971E-2</v>
      </c>
      <c r="O229" s="50">
        <f t="shared" si="2"/>
        <v>7.1139960014910741E-2</v>
      </c>
    </row>
    <row r="230" spans="2:15" x14ac:dyDescent="0.3">
      <c r="B230" s="20" t="s">
        <v>231</v>
      </c>
      <c r="C230" s="47">
        <f>LE_BRA!C182</f>
        <v>11.30710331256741</v>
      </c>
      <c r="D230" s="60">
        <f>LE_IND!C182</f>
        <v>11.182907570623454</v>
      </c>
      <c r="E230" s="50">
        <f>LE_ZAF!C182</f>
        <v>10.895302867013914</v>
      </c>
      <c r="G230" s="20" t="s">
        <v>631</v>
      </c>
      <c r="H230" s="47">
        <f>LE_BRA!AD182</f>
        <v>11.252620560216425</v>
      </c>
      <c r="I230" s="60">
        <f>LE_IND!AD182</f>
        <v>11.12349552350082</v>
      </c>
      <c r="J230" s="50">
        <f>LE_ZAF!AD182</f>
        <v>10.809003210555641</v>
      </c>
      <c r="L230" s="20" t="s">
        <v>1031</v>
      </c>
      <c r="M230" s="47">
        <f t="shared" si="2"/>
        <v>5.4482752350985209E-2</v>
      </c>
      <c r="N230" s="60">
        <f t="shared" si="2"/>
        <v>5.9412047122634704E-2</v>
      </c>
      <c r="O230" s="50">
        <f t="shared" si="2"/>
        <v>8.6299656458272977E-2</v>
      </c>
    </row>
    <row r="231" spans="2:15" x14ac:dyDescent="0.3">
      <c r="B231" s="20" t="s">
        <v>232</v>
      </c>
      <c r="C231" s="47">
        <f>LE_BRA!C183</f>
        <v>11.14479704414145</v>
      </c>
      <c r="D231" s="60">
        <f>LE_IND!C183</f>
        <v>10.990728288264227</v>
      </c>
      <c r="E231" s="50">
        <f>LE_ZAF!C183</f>
        <v>10.631473196440977</v>
      </c>
      <c r="G231" s="20" t="s">
        <v>632</v>
      </c>
      <c r="H231" s="47">
        <f>LE_BRA!AD183</f>
        <v>11.078636778390253</v>
      </c>
      <c r="I231" s="60">
        <f>LE_IND!AD183</f>
        <v>10.918856116436807</v>
      </c>
      <c r="J231" s="50">
        <f>LE_ZAF!AD183</f>
        <v>10.526197068655707</v>
      </c>
      <c r="L231" s="20" t="s">
        <v>1032</v>
      </c>
      <c r="M231" s="47">
        <f t="shared" si="2"/>
        <v>6.6160265751197045E-2</v>
      </c>
      <c r="N231" s="60">
        <f t="shared" si="2"/>
        <v>7.1872171827420672E-2</v>
      </c>
      <c r="O231" s="50">
        <f t="shared" si="2"/>
        <v>0.10527612778527029</v>
      </c>
    </row>
    <row r="232" spans="2:15" x14ac:dyDescent="0.3">
      <c r="B232" s="20" t="s">
        <v>233</v>
      </c>
      <c r="C232" s="47">
        <f>LE_BRA!C184</f>
        <v>10.967658735270158</v>
      </c>
      <c r="D232" s="60">
        <f>LE_IND!C184</f>
        <v>10.761923194495861</v>
      </c>
      <c r="E232" s="50">
        <f>LE_ZAF!C184</f>
        <v>10.320574796763305</v>
      </c>
      <c r="G232" s="20" t="s">
        <v>633</v>
      </c>
      <c r="H232" s="47">
        <f>LE_BRA!AD184</f>
        <v>10.890547118602866</v>
      </c>
      <c r="I232" s="60">
        <f>LE_IND!AD184</f>
        <v>10.676274630620449</v>
      </c>
      <c r="J232" s="50">
        <f>LE_ZAF!AD184</f>
        <v>10.194275606480582</v>
      </c>
      <c r="L232" s="20" t="s">
        <v>1033</v>
      </c>
      <c r="M232" s="47">
        <f t="shared" si="2"/>
        <v>7.7111616667291827E-2</v>
      </c>
      <c r="N232" s="60">
        <f t="shared" si="2"/>
        <v>8.5648563875411199E-2</v>
      </c>
      <c r="O232" s="50">
        <f t="shared" si="2"/>
        <v>0.12629919028272241</v>
      </c>
    </row>
    <row r="233" spans="2:15" x14ac:dyDescent="0.3">
      <c r="B233" s="20" t="s">
        <v>234</v>
      </c>
      <c r="C233" s="47">
        <f>LE_BRA!C185</f>
        <v>10.756874446751302</v>
      </c>
      <c r="D233" s="60">
        <f>LE_IND!C185</f>
        <v>10.484481295063755</v>
      </c>
      <c r="E233" s="50">
        <f>LE_ZAF!C185</f>
        <v>9.9648350549095923</v>
      </c>
      <c r="G233" s="20" t="s">
        <v>634</v>
      </c>
      <c r="H233" s="47">
        <f>LE_BRA!AD185</f>
        <v>10.667729539105965</v>
      </c>
      <c r="I233" s="60">
        <f>LE_IND!AD185</f>
        <v>10.383068391671339</v>
      </c>
      <c r="J233" s="50">
        <f>LE_ZAF!AD185</f>
        <v>9.8166426521115504</v>
      </c>
      <c r="L233" s="20" t="s">
        <v>1034</v>
      </c>
      <c r="M233" s="47">
        <f t="shared" ref="M233:O292" si="3">C233-H233</f>
        <v>8.9144907645337668E-2</v>
      </c>
      <c r="N233" s="60">
        <f t="shared" si="3"/>
        <v>0.10141290339241671</v>
      </c>
      <c r="O233" s="50">
        <f t="shared" si="3"/>
        <v>0.14819240279804191</v>
      </c>
    </row>
    <row r="234" spans="2:15" x14ac:dyDescent="0.3">
      <c r="B234" s="20" t="s">
        <v>235</v>
      </c>
      <c r="C234" s="47">
        <f>LE_BRA!C186</f>
        <v>10.49044618030922</v>
      </c>
      <c r="D234" s="60">
        <f>LE_IND!C186</f>
        <v>10.141844053800574</v>
      </c>
      <c r="E234" s="50">
        <f>LE_ZAF!C186</f>
        <v>9.564858694225606</v>
      </c>
      <c r="G234" s="20" t="s">
        <v>635</v>
      </c>
      <c r="H234" s="47">
        <f>LE_BRA!AD186</f>
        <v>10.386160515858975</v>
      </c>
      <c r="I234" s="60">
        <f>LE_IND!AD186</f>
        <v>10.021640238304313</v>
      </c>
      <c r="J234" s="50">
        <f>LE_ZAF!AD186</f>
        <v>9.3949746523672175</v>
      </c>
      <c r="L234" s="20" t="s">
        <v>1035</v>
      </c>
      <c r="M234" s="47">
        <f t="shared" si="3"/>
        <v>0.10428566445024501</v>
      </c>
      <c r="N234" s="60">
        <f t="shared" si="3"/>
        <v>0.1202038154962608</v>
      </c>
      <c r="O234" s="50">
        <f t="shared" si="3"/>
        <v>0.16988404185838846</v>
      </c>
    </row>
    <row r="235" spans="2:15" x14ac:dyDescent="0.3">
      <c r="B235" s="20" t="s">
        <v>236</v>
      </c>
      <c r="C235" s="47">
        <f>LE_BRA!C187</f>
        <v>10.164104275374417</v>
      </c>
      <c r="D235" s="60">
        <f>LE_IND!C187</f>
        <v>9.7270270745956484</v>
      </c>
      <c r="E235" s="50">
        <f>LE_ZAF!C187</f>
        <v>9.1251417633417802</v>
      </c>
      <c r="G235" s="20" t="s">
        <v>636</v>
      </c>
      <c r="H235" s="47">
        <f>LE_BRA!AD187</f>
        <v>10.042087431993085</v>
      </c>
      <c r="I235" s="60">
        <f>LE_IND!AD187</f>
        <v>9.5854513407266246</v>
      </c>
      <c r="J235" s="50">
        <f>LE_ZAF!AD187</f>
        <v>8.9354125269793165</v>
      </c>
      <c r="L235" s="20" t="s">
        <v>1036</v>
      </c>
      <c r="M235" s="47">
        <f t="shared" si="3"/>
        <v>0.12201684338133134</v>
      </c>
      <c r="N235" s="60">
        <f t="shared" si="3"/>
        <v>0.14157573386902378</v>
      </c>
      <c r="O235" s="50">
        <f t="shared" si="3"/>
        <v>0.18972923636246364</v>
      </c>
    </row>
    <row r="236" spans="2:15" x14ac:dyDescent="0.3">
      <c r="B236" s="20" t="s">
        <v>237</v>
      </c>
      <c r="C236" s="47">
        <f>LE_BRA!C188</f>
        <v>9.7688676484304828</v>
      </c>
      <c r="D236" s="60">
        <f>LE_IND!C188</f>
        <v>9.230154827284629</v>
      </c>
      <c r="E236" s="50">
        <f>LE_ZAF!C188</f>
        <v>8.6430524686994481</v>
      </c>
      <c r="G236" s="20" t="s">
        <v>637</v>
      </c>
      <c r="H236" s="47">
        <f>LE_BRA!AD188</f>
        <v>9.6266540132665934</v>
      </c>
      <c r="I236" s="60">
        <f>LE_IND!AD188</f>
        <v>9.0649431870036334</v>
      </c>
      <c r="J236" s="50">
        <f>LE_ZAF!AD188</f>
        <v>8.4363434306785692</v>
      </c>
      <c r="L236" s="20" t="s">
        <v>1037</v>
      </c>
      <c r="M236" s="47">
        <f t="shared" si="3"/>
        <v>0.14221363516388941</v>
      </c>
      <c r="N236" s="60">
        <f t="shared" si="3"/>
        <v>0.16521164028099555</v>
      </c>
      <c r="O236" s="50">
        <f t="shared" si="3"/>
        <v>0.20670903802087892</v>
      </c>
    </row>
    <row r="237" spans="2:15" x14ac:dyDescent="0.3">
      <c r="B237" s="20" t="s">
        <v>238</v>
      </c>
      <c r="C237" s="47">
        <f>LE_BRA!C189</f>
        <v>9.2975812656606127</v>
      </c>
      <c r="D237" s="60">
        <f>LE_IND!C189</f>
        <v>8.6404424747023398</v>
      </c>
      <c r="E237" s="50">
        <f>LE_ZAF!C189</f>
        <v>8.0928844675754412</v>
      </c>
      <c r="G237" s="20" t="s">
        <v>638</v>
      </c>
      <c r="H237" s="47">
        <f>LE_BRA!AD189</f>
        <v>9.1332766023803504</v>
      </c>
      <c r="I237" s="60">
        <f>LE_IND!AD189</f>
        <v>8.4497398980075822</v>
      </c>
      <c r="J237" s="50">
        <f>LE_ZAF!AD189</f>
        <v>7.870617996120802</v>
      </c>
      <c r="L237" s="20" t="s">
        <v>1038</v>
      </c>
      <c r="M237" s="47">
        <f t="shared" si="3"/>
        <v>0.16430466328026228</v>
      </c>
      <c r="N237" s="60">
        <f t="shared" si="3"/>
        <v>0.19070257669475765</v>
      </c>
      <c r="O237" s="50">
        <f t="shared" si="3"/>
        <v>0.22226647145463918</v>
      </c>
    </row>
    <row r="238" spans="2:15" x14ac:dyDescent="0.3">
      <c r="B238" s="20" t="s">
        <v>239</v>
      </c>
      <c r="C238" s="47">
        <f>LE_BRA!C190</f>
        <v>8.7478466290258616</v>
      </c>
      <c r="D238" s="60">
        <f>LE_IND!C190</f>
        <v>7.9637113763140892</v>
      </c>
      <c r="E238" s="50">
        <f>LE_ZAF!C190</f>
        <v>7.4653841303252939</v>
      </c>
      <c r="G238" s="20" t="s">
        <v>639</v>
      </c>
      <c r="H238" s="47">
        <f>LE_BRA!AD190</f>
        <v>8.5609180085762286</v>
      </c>
      <c r="I238" s="60">
        <f>LE_IND!AD190</f>
        <v>7.7480965047227279</v>
      </c>
      <c r="J238" s="50">
        <f>LE_ZAF!AD190</f>
        <v>7.229689492525055</v>
      </c>
      <c r="L238" s="20" t="s">
        <v>1039</v>
      </c>
      <c r="M238" s="47">
        <f t="shared" si="3"/>
        <v>0.18692862044963299</v>
      </c>
      <c r="N238" s="60">
        <f t="shared" si="3"/>
        <v>0.21561487159136128</v>
      </c>
      <c r="O238" s="50">
        <f t="shared" si="3"/>
        <v>0.23569463780023892</v>
      </c>
    </row>
    <row r="239" spans="2:15" x14ac:dyDescent="0.3">
      <c r="B239" s="20" t="s">
        <v>240</v>
      </c>
      <c r="C239" s="47">
        <f>LE_BRA!C191</f>
        <v>8.110945320541104</v>
      </c>
      <c r="D239" s="60">
        <f>LE_IND!C191</f>
        <v>7.2108924631214117</v>
      </c>
      <c r="E239" s="50">
        <f>LE_ZAF!C191</f>
        <v>6.7475417842447181</v>
      </c>
      <c r="G239" s="20" t="s">
        <v>640</v>
      </c>
      <c r="H239" s="47">
        <f>LE_BRA!AD191</f>
        <v>7.9016123837303978</v>
      </c>
      <c r="I239" s="60">
        <f>LE_IND!AD191</f>
        <v>6.9738068242078128</v>
      </c>
      <c r="J239" s="50">
        <f>LE_ZAF!AD191</f>
        <v>6.5009877290302605</v>
      </c>
      <c r="L239" s="20" t="s">
        <v>1040</v>
      </c>
      <c r="M239" s="47">
        <f t="shared" si="3"/>
        <v>0.20933293681070619</v>
      </c>
      <c r="N239" s="60">
        <f t="shared" si="3"/>
        <v>0.23708563891359891</v>
      </c>
      <c r="O239" s="50">
        <f t="shared" si="3"/>
        <v>0.24655405521445761</v>
      </c>
    </row>
    <row r="240" spans="2:15" x14ac:dyDescent="0.3">
      <c r="B240" s="20" t="s">
        <v>241</v>
      </c>
      <c r="C240" s="47">
        <f>LE_BRA!C192</f>
        <v>7.3860456572153117</v>
      </c>
      <c r="D240" s="60">
        <f>LE_IND!C192</f>
        <v>6.3821589549879993</v>
      </c>
      <c r="E240" s="50">
        <f>LE_ZAF!C192</f>
        <v>5.9345956358978817</v>
      </c>
      <c r="G240" s="20" t="s">
        <v>641</v>
      </c>
      <c r="H240" s="47">
        <f>LE_BRA!AD192</f>
        <v>7.1562141990395807</v>
      </c>
      <c r="I240" s="60">
        <f>LE_IND!AD192</f>
        <v>6.1283058129767216</v>
      </c>
      <c r="J240" s="50">
        <f>LE_ZAF!AD192</f>
        <v>5.6808189562745204</v>
      </c>
      <c r="L240" s="20" t="s">
        <v>1041</v>
      </c>
      <c r="M240" s="47">
        <f t="shared" si="3"/>
        <v>0.22983145817573103</v>
      </c>
      <c r="N240" s="60">
        <f t="shared" si="3"/>
        <v>0.25385314201127773</v>
      </c>
      <c r="O240" s="50">
        <f t="shared" si="3"/>
        <v>0.25377667962336137</v>
      </c>
    </row>
    <row r="241" spans="2:15" x14ac:dyDescent="0.3">
      <c r="B241" s="20" t="s">
        <v>242</v>
      </c>
      <c r="C241" s="47">
        <f>LE_BRA!C193</f>
        <v>6.5855965517409851</v>
      </c>
      <c r="D241" s="60">
        <f>LE_IND!C193</f>
        <v>5.4943598467509913</v>
      </c>
      <c r="E241" s="50">
        <f>LE_ZAF!C193</f>
        <v>5.0507109077422303</v>
      </c>
      <c r="G241" s="20" t="s">
        <v>642</v>
      </c>
      <c r="H241" s="47">
        <f>LE_BRA!AD193</f>
        <v>6.3401111084343729</v>
      </c>
      <c r="I241" s="60">
        <f>LE_IND!AD193</f>
        <v>5.2305439751886951</v>
      </c>
      <c r="J241" s="50">
        <f>LE_ZAF!AD193</f>
        <v>4.7966089902749998</v>
      </c>
      <c r="L241" s="20" t="s">
        <v>1042</v>
      </c>
      <c r="M241" s="47">
        <f t="shared" si="3"/>
        <v>0.24548544330661226</v>
      </c>
      <c r="N241" s="60">
        <f t="shared" si="3"/>
        <v>0.26381587156229624</v>
      </c>
      <c r="O241" s="50">
        <f t="shared" si="3"/>
        <v>0.25410191746723054</v>
      </c>
    </row>
    <row r="242" spans="2:15" x14ac:dyDescent="0.3">
      <c r="B242" s="20" t="s">
        <v>243</v>
      </c>
      <c r="C242" s="47">
        <f>LE_BRA!C194</f>
        <v>5.7170274193881285</v>
      </c>
      <c r="D242" s="60">
        <f>LE_IND!C194</f>
        <v>4.5956529659163401</v>
      </c>
      <c r="E242" s="50">
        <f>LE_ZAF!C194</f>
        <v>4.130093698114818</v>
      </c>
      <c r="G242" s="20" t="s">
        <v>643</v>
      </c>
      <c r="H242" s="47">
        <f>LE_BRA!AD194</f>
        <v>5.4626540147090648</v>
      </c>
      <c r="I242" s="60">
        <f>LE_IND!AD194</f>
        <v>4.3320055779621205</v>
      </c>
      <c r="J242" s="50">
        <f>LE_ZAF!AD194</f>
        <v>3.8853193834733744</v>
      </c>
      <c r="L242" s="20" t="s">
        <v>1043</v>
      </c>
      <c r="M242" s="47">
        <f t="shared" si="3"/>
        <v>0.25437340467906377</v>
      </c>
      <c r="N242" s="60">
        <f t="shared" si="3"/>
        <v>0.2636473879542196</v>
      </c>
      <c r="O242" s="50">
        <f t="shared" si="3"/>
        <v>0.24477431464144361</v>
      </c>
    </row>
    <row r="243" spans="2:15" x14ac:dyDescent="0.3">
      <c r="B243" s="20" t="s">
        <v>244</v>
      </c>
      <c r="C243" s="47">
        <f>LE_BRA!C195</f>
        <v>4.4208301074173519</v>
      </c>
      <c r="D243" s="60">
        <f>LE_IND!C195</f>
        <v>3.3662409662656199</v>
      </c>
      <c r="E243" s="50">
        <f>LE_ZAF!C195</f>
        <v>2.8202867129000451</v>
      </c>
      <c r="G243" s="20" t="s">
        <v>644</v>
      </c>
      <c r="H243" s="47">
        <f>LE_BRA!AD195</f>
        <v>4.1689194069234627</v>
      </c>
      <c r="I243" s="60">
        <f>LE_IND!AD195</f>
        <v>3.1197241869258208</v>
      </c>
      <c r="J243" s="50">
        <f>LE_ZAF!AD195</f>
        <v>2.6044189248608483</v>
      </c>
      <c r="L243" s="20" t="s">
        <v>1044</v>
      </c>
      <c r="M243" s="47">
        <f t="shared" si="3"/>
        <v>0.25191070049388919</v>
      </c>
      <c r="N243" s="60">
        <f t="shared" si="3"/>
        <v>0.2465167793397991</v>
      </c>
      <c r="O243" s="50">
        <f t="shared" si="3"/>
        <v>0.21586778803919682</v>
      </c>
    </row>
    <row r="244" spans="2:15" x14ac:dyDescent="0.3">
      <c r="B244" s="20" t="s">
        <v>245</v>
      </c>
      <c r="C244" s="47">
        <f>LE_BRA!C196</f>
        <v>11.003315586327505</v>
      </c>
      <c r="D244" s="60">
        <f>LE_IND!C196</f>
        <v>10.894515386859744</v>
      </c>
      <c r="E244" s="50">
        <f>LE_ZAF!C196</f>
        <v>10.713395857687759</v>
      </c>
      <c r="G244" s="20" t="s">
        <v>645</v>
      </c>
      <c r="H244" s="47">
        <f>LE_BRA!AD196</f>
        <v>10.969285325740183</v>
      </c>
      <c r="I244" s="60">
        <f>LE_IND!AD196</f>
        <v>10.852718623185391</v>
      </c>
      <c r="J244" s="50">
        <f>LE_ZAF!AD196</f>
        <v>10.654211512992216</v>
      </c>
      <c r="L244" s="20" t="s">
        <v>1045</v>
      </c>
      <c r="M244" s="47">
        <f t="shared" si="3"/>
        <v>3.4030260587321948E-2</v>
      </c>
      <c r="N244" s="60">
        <f t="shared" si="3"/>
        <v>4.1796763674353699E-2</v>
      </c>
      <c r="O244" s="50">
        <f t="shared" si="3"/>
        <v>5.9184344695543345E-2</v>
      </c>
    </row>
    <row r="245" spans="2:15" x14ac:dyDescent="0.3">
      <c r="B245" s="20" t="s">
        <v>246</v>
      </c>
      <c r="C245" s="47">
        <f>LE_BRA!C197</f>
        <v>10.905930139487753</v>
      </c>
      <c r="D245" s="60">
        <f>LE_IND!C197</f>
        <v>10.800796689970884</v>
      </c>
      <c r="E245" s="50">
        <f>LE_ZAF!C197</f>
        <v>10.583800990116298</v>
      </c>
      <c r="G245" s="20" t="s">
        <v>646</v>
      </c>
      <c r="H245" s="47">
        <f>LE_BRA!AD197</f>
        <v>10.864732223240123</v>
      </c>
      <c r="I245" s="60">
        <f>LE_IND!AD197</f>
        <v>10.754247495651788</v>
      </c>
      <c r="J245" s="50">
        <f>LE_ZAF!AD197</f>
        <v>10.516849978967</v>
      </c>
      <c r="L245" s="20" t="s">
        <v>1046</v>
      </c>
      <c r="M245" s="47">
        <f t="shared" si="3"/>
        <v>4.1197916247629252E-2</v>
      </c>
      <c r="N245" s="60">
        <f t="shared" si="3"/>
        <v>4.6549194319096543E-2</v>
      </c>
      <c r="O245" s="50">
        <f t="shared" si="3"/>
        <v>6.6951011149297912E-2</v>
      </c>
    </row>
    <row r="246" spans="2:15" x14ac:dyDescent="0.3">
      <c r="B246" s="20" t="s">
        <v>247</v>
      </c>
      <c r="C246" s="47">
        <f>LE_BRA!C198</f>
        <v>10.775336777524522</v>
      </c>
      <c r="D246" s="60">
        <f>LE_IND!C198</f>
        <v>10.655499796316063</v>
      </c>
      <c r="E246" s="50">
        <f>LE_ZAF!C198</f>
        <v>10.385887849498328</v>
      </c>
      <c r="G246" s="20" t="s">
        <v>647</v>
      </c>
      <c r="H246" s="47">
        <f>LE_BRA!AD198</f>
        <v>10.72412154829656</v>
      </c>
      <c r="I246" s="60">
        <f>LE_IND!AD198</f>
        <v>10.599380814004951</v>
      </c>
      <c r="J246" s="50">
        <f>LE_ZAF!AD198</f>
        <v>10.304637241934739</v>
      </c>
      <c r="L246" s="20" t="s">
        <v>1047</v>
      </c>
      <c r="M246" s="47">
        <f t="shared" si="3"/>
        <v>5.1215229227961956E-2</v>
      </c>
      <c r="N246" s="60">
        <f t="shared" si="3"/>
        <v>5.611898231111212E-2</v>
      </c>
      <c r="O246" s="50">
        <f t="shared" si="3"/>
        <v>8.1250607563589483E-2</v>
      </c>
    </row>
    <row r="247" spans="2:15" x14ac:dyDescent="0.3">
      <c r="B247" s="20" t="s">
        <v>248</v>
      </c>
      <c r="C247" s="47">
        <f>LE_BRA!C199</f>
        <v>10.62202142238438</v>
      </c>
      <c r="D247" s="60">
        <f>LE_IND!C199</f>
        <v>10.473339802942663</v>
      </c>
      <c r="E247" s="50">
        <f>LE_ZAF!C199</f>
        <v>10.136536959821152</v>
      </c>
      <c r="G247" s="20" t="s">
        <v>648</v>
      </c>
      <c r="H247" s="47">
        <f>LE_BRA!AD199</f>
        <v>10.559795138435792</v>
      </c>
      <c r="I247" s="60">
        <f>LE_IND!AD199</f>
        <v>10.405411230108678</v>
      </c>
      <c r="J247" s="50">
        <f>LE_ZAF!AD199</f>
        <v>10.037388659057388</v>
      </c>
      <c r="L247" s="20" t="s">
        <v>1048</v>
      </c>
      <c r="M247" s="47">
        <f t="shared" si="3"/>
        <v>6.222628394858809E-2</v>
      </c>
      <c r="N247" s="60">
        <f t="shared" si="3"/>
        <v>6.7928572833984902E-2</v>
      </c>
      <c r="O247" s="50">
        <f t="shared" si="3"/>
        <v>9.9148300763763686E-2</v>
      </c>
    </row>
    <row r="248" spans="2:15" x14ac:dyDescent="0.3">
      <c r="B248" s="20" t="s">
        <v>249</v>
      </c>
      <c r="C248" s="47">
        <f>LE_BRA!C200</f>
        <v>10.454267952432893</v>
      </c>
      <c r="D248" s="60">
        <f>LE_IND!C200</f>
        <v>10.256347981948769</v>
      </c>
      <c r="E248" s="50">
        <f>LE_ZAF!C200</f>
        <v>9.8424073896974438</v>
      </c>
      <c r="G248" s="20" t="s">
        <v>649</v>
      </c>
      <c r="H248" s="47">
        <f>LE_BRA!AD200</f>
        <v>10.381668454415264</v>
      </c>
      <c r="I248" s="60">
        <f>LE_IND!AD200</f>
        <v>10.175349045173034</v>
      </c>
      <c r="J248" s="50">
        <f>LE_ZAF!AD200</f>
        <v>9.7234058427637127</v>
      </c>
      <c r="L248" s="20" t="s">
        <v>1049</v>
      </c>
      <c r="M248" s="47">
        <f t="shared" si="3"/>
        <v>7.2599498017629216E-2</v>
      </c>
      <c r="N248" s="60">
        <f t="shared" si="3"/>
        <v>8.0998936775735331E-2</v>
      </c>
      <c r="O248" s="50">
        <f t="shared" si="3"/>
        <v>0.11900154693373111</v>
      </c>
    </row>
    <row r="249" spans="2:15" x14ac:dyDescent="0.3">
      <c r="B249" s="20" t="s">
        <v>250</v>
      </c>
      <c r="C249" s="47">
        <f>LE_BRA!C201</f>
        <v>10.254502474018734</v>
      </c>
      <c r="D249" s="60">
        <f>LE_IND!C201</f>
        <v>9.9931405924694214</v>
      </c>
      <c r="E249" s="50">
        <f>LE_ZAF!C201</f>
        <v>9.5051915909666445</v>
      </c>
      <c r="G249" s="20" t="s">
        <v>650</v>
      </c>
      <c r="H249" s="47">
        <f>LE_BRA!AD201</f>
        <v>10.170487979076503</v>
      </c>
      <c r="I249" s="60">
        <f>LE_IND!AD201</f>
        <v>9.8971751299378106</v>
      </c>
      <c r="J249" s="50">
        <f>LE_ZAF!AD201</f>
        <v>9.3654514874706347</v>
      </c>
      <c r="L249" s="20" t="s">
        <v>1050</v>
      </c>
      <c r="M249" s="47">
        <f t="shared" si="3"/>
        <v>8.4014494942231011E-2</v>
      </c>
      <c r="N249" s="60">
        <f t="shared" si="3"/>
        <v>9.5965462531610868E-2</v>
      </c>
      <c r="O249" s="50">
        <f t="shared" si="3"/>
        <v>0.13974010349600974</v>
      </c>
    </row>
    <row r="250" spans="2:15" x14ac:dyDescent="0.3">
      <c r="B250" s="20" t="s">
        <v>251</v>
      </c>
      <c r="C250" s="47">
        <f>LE_BRA!C202</f>
        <v>10.002088294112385</v>
      </c>
      <c r="D250" s="60">
        <f>LE_IND!C202</f>
        <v>9.6680282861048585</v>
      </c>
      <c r="E250" s="50">
        <f>LE_ZAF!C202</f>
        <v>9.1250887569135966</v>
      </c>
      <c r="G250" s="20" t="s">
        <v>651</v>
      </c>
      <c r="H250" s="47">
        <f>LE_BRA!AD202</f>
        <v>9.9037250460328163</v>
      </c>
      <c r="I250" s="60">
        <f>LE_IND!AD202</f>
        <v>9.5542180188047272</v>
      </c>
      <c r="J250" s="50">
        <f>LE_ZAF!AD202</f>
        <v>8.9647060498445423</v>
      </c>
      <c r="L250" s="20" t="s">
        <v>1051</v>
      </c>
      <c r="M250" s="47">
        <f t="shared" si="3"/>
        <v>9.8363248079568422E-2</v>
      </c>
      <c r="N250" s="60">
        <f t="shared" si="3"/>
        <v>0.11381026730013133</v>
      </c>
      <c r="O250" s="50">
        <f t="shared" si="3"/>
        <v>0.16038270706905422</v>
      </c>
    </row>
    <row r="251" spans="2:15" x14ac:dyDescent="0.3">
      <c r="B251" s="20" t="s">
        <v>252</v>
      </c>
      <c r="C251" s="47">
        <f>LE_BRA!C203</f>
        <v>9.6928277192540175</v>
      </c>
      <c r="D251" s="60">
        <f>LE_IND!C203</f>
        <v>9.2742816459318611</v>
      </c>
      <c r="E251" s="50">
        <f>LE_ZAF!C203</f>
        <v>8.7061524412054396</v>
      </c>
      <c r="G251" s="20" t="s">
        <v>652</v>
      </c>
      <c r="H251" s="47">
        <f>LE_BRA!AD203</f>
        <v>9.5776545193357805</v>
      </c>
      <c r="I251" s="60">
        <f>LE_IND!AD203</f>
        <v>9.1401601060619342</v>
      </c>
      <c r="J251" s="50">
        <f>LE_ZAF!AD203</f>
        <v>8.5267724214718807</v>
      </c>
      <c r="L251" s="20" t="s">
        <v>1052</v>
      </c>
      <c r="M251" s="47">
        <f t="shared" si="3"/>
        <v>0.11517319991823705</v>
      </c>
      <c r="N251" s="60">
        <f t="shared" si="3"/>
        <v>0.13412153986992692</v>
      </c>
      <c r="O251" s="50">
        <f t="shared" si="3"/>
        <v>0.17938001973355888</v>
      </c>
    </row>
    <row r="252" spans="2:15" x14ac:dyDescent="0.3">
      <c r="B252" s="20" t="s">
        <v>253</v>
      </c>
      <c r="C252" s="47">
        <f>LE_BRA!C204</f>
        <v>9.3181286564101526</v>
      </c>
      <c r="D252" s="60">
        <f>LE_IND!C204</f>
        <v>8.8024655045691329</v>
      </c>
      <c r="E252" s="50">
        <f>LE_ZAF!C204</f>
        <v>8.2459040501398881</v>
      </c>
      <c r="G252" s="20" t="s">
        <v>653</v>
      </c>
      <c r="H252" s="47">
        <f>LE_BRA!AD204</f>
        <v>9.1837957839333022</v>
      </c>
      <c r="I252" s="60">
        <f>LE_IND!AD204</f>
        <v>8.6458624722871811</v>
      </c>
      <c r="J252" s="50">
        <f>LE_ZAF!AD204</f>
        <v>8.0501512571355764</v>
      </c>
      <c r="L252" s="20" t="s">
        <v>1053</v>
      </c>
      <c r="M252" s="47">
        <f t="shared" si="3"/>
        <v>0.13433287247685044</v>
      </c>
      <c r="N252" s="60">
        <f t="shared" si="3"/>
        <v>0.15660303228195183</v>
      </c>
      <c r="O252" s="50">
        <f t="shared" si="3"/>
        <v>0.1957527930043117</v>
      </c>
    </row>
    <row r="253" spans="2:15" x14ac:dyDescent="0.3">
      <c r="B253" s="20" t="s">
        <v>254</v>
      </c>
      <c r="C253" s="47">
        <f>LE_BRA!C205</f>
        <v>8.8710917684746065</v>
      </c>
      <c r="D253" s="60">
        <f>LE_IND!C205</f>
        <v>8.2423138526303745</v>
      </c>
      <c r="E253" s="50">
        <f>LE_ZAF!C205</f>
        <v>7.7204739697690519</v>
      </c>
      <c r="G253" s="20" t="s">
        <v>654</v>
      </c>
      <c r="H253" s="47">
        <f>LE_BRA!AD205</f>
        <v>8.7157828751462088</v>
      </c>
      <c r="I253" s="60">
        <f>LE_IND!AD205</f>
        <v>8.0614492701430169</v>
      </c>
      <c r="J253" s="50">
        <f>LE_ZAF!AD205</f>
        <v>7.50966927999412</v>
      </c>
      <c r="L253" s="20" t="s">
        <v>1054</v>
      </c>
      <c r="M253" s="47">
        <f t="shared" si="3"/>
        <v>0.1553088933283977</v>
      </c>
      <c r="N253" s="60">
        <f t="shared" si="3"/>
        <v>0.18086458248735759</v>
      </c>
      <c r="O253" s="50">
        <f t="shared" si="3"/>
        <v>0.21080468977493183</v>
      </c>
    </row>
    <row r="254" spans="2:15" x14ac:dyDescent="0.3">
      <c r="B254" s="20" t="s">
        <v>255</v>
      </c>
      <c r="C254" s="47">
        <f>LE_BRA!C206</f>
        <v>8.3492108915322909</v>
      </c>
      <c r="D254" s="60">
        <f>LE_IND!C206</f>
        <v>7.599105912694843</v>
      </c>
      <c r="E254" s="50">
        <f>LE_ZAF!C206</f>
        <v>7.1212888651190838</v>
      </c>
      <c r="G254" s="20" t="s">
        <v>655</v>
      </c>
      <c r="H254" s="47">
        <f>LE_BRA!AD206</f>
        <v>8.1723828116421622</v>
      </c>
      <c r="I254" s="60">
        <f>LE_IND!AD206</f>
        <v>7.3944932274946353</v>
      </c>
      <c r="J254" s="50">
        <f>LE_ZAF!AD206</f>
        <v>6.8974536105809729</v>
      </c>
      <c r="L254" s="20" t="s">
        <v>1055</v>
      </c>
      <c r="M254" s="47">
        <f t="shared" si="3"/>
        <v>0.17682807989012872</v>
      </c>
      <c r="N254" s="60">
        <f t="shared" si="3"/>
        <v>0.2046126852002077</v>
      </c>
      <c r="O254" s="50">
        <f t="shared" si="3"/>
        <v>0.22383525453811082</v>
      </c>
    </row>
    <row r="255" spans="2:15" x14ac:dyDescent="0.3">
      <c r="B255" s="20" t="s">
        <v>256</v>
      </c>
      <c r="C255" s="47">
        <f>LE_BRA!C207</f>
        <v>7.7440302307016298</v>
      </c>
      <c r="D255" s="60">
        <f>LE_IND!C207</f>
        <v>6.8829393671701622</v>
      </c>
      <c r="E255" s="50">
        <f>LE_ZAF!C207</f>
        <v>6.4362492287901976</v>
      </c>
      <c r="G255" s="20" t="s">
        <v>656</v>
      </c>
      <c r="H255" s="47">
        <f>LE_BRA!AD207</f>
        <v>7.5458464714807416</v>
      </c>
      <c r="I255" s="60">
        <f>LE_IND!AD207</f>
        <v>6.6577963602450243</v>
      </c>
      <c r="J255" s="50">
        <f>LE_ZAF!AD207</f>
        <v>6.2018527011091562</v>
      </c>
      <c r="L255" s="20" t="s">
        <v>1056</v>
      </c>
      <c r="M255" s="47">
        <f t="shared" si="3"/>
        <v>0.19818375922088816</v>
      </c>
      <c r="N255" s="60">
        <f t="shared" si="3"/>
        <v>0.22514300692513789</v>
      </c>
      <c r="O255" s="50">
        <f t="shared" si="3"/>
        <v>0.23439652768104136</v>
      </c>
    </row>
    <row r="256" spans="2:15" x14ac:dyDescent="0.3">
      <c r="B256" s="20" t="s">
        <v>257</v>
      </c>
      <c r="C256" s="47">
        <f>LE_BRA!C208</f>
        <v>7.0544499541558574</v>
      </c>
      <c r="D256" s="60">
        <f>LE_IND!C208</f>
        <v>6.0939202944877593</v>
      </c>
      <c r="E256" s="50">
        <f>LE_ZAF!C208</f>
        <v>5.6609513670814433</v>
      </c>
      <c r="G256" s="20" t="s">
        <v>657</v>
      </c>
      <c r="H256" s="47">
        <f>LE_BRA!AD208</f>
        <v>6.8366629656385385</v>
      </c>
      <c r="I256" s="60">
        <f>LE_IND!AD208</f>
        <v>5.8526803943392123</v>
      </c>
      <c r="J256" s="50">
        <f>LE_ZAF!AD208</f>
        <v>5.4194954430016935</v>
      </c>
      <c r="L256" s="20" t="s">
        <v>1057</v>
      </c>
      <c r="M256" s="47">
        <f t="shared" si="3"/>
        <v>0.21778698851731892</v>
      </c>
      <c r="N256" s="60">
        <f t="shared" si="3"/>
        <v>0.24123990014854702</v>
      </c>
      <c r="O256" s="50">
        <f t="shared" si="3"/>
        <v>0.24145592407974981</v>
      </c>
    </row>
    <row r="257" spans="2:15" x14ac:dyDescent="0.3">
      <c r="B257" s="20" t="s">
        <v>258</v>
      </c>
      <c r="C257" s="47">
        <f>LE_BRA!C209</f>
        <v>6.2918390961431356</v>
      </c>
      <c r="D257" s="60">
        <f>LE_IND!C209</f>
        <v>5.247830985173267</v>
      </c>
      <c r="E257" s="50">
        <f>LE_ZAF!C209</f>
        <v>4.8181537631907636</v>
      </c>
      <c r="G257" s="20" t="s">
        <v>658</v>
      </c>
      <c r="H257" s="47">
        <f>LE_BRA!AD209</f>
        <v>6.0589772867554856</v>
      </c>
      <c r="I257" s="60">
        <f>LE_IND!AD209</f>
        <v>4.9969335416199216</v>
      </c>
      <c r="J257" s="50">
        <f>LE_ZAF!AD209</f>
        <v>4.5762246745106179</v>
      </c>
      <c r="L257" s="20" t="s">
        <v>1058</v>
      </c>
      <c r="M257" s="47">
        <f t="shared" si="3"/>
        <v>0.23286180938765</v>
      </c>
      <c r="N257" s="60">
        <f t="shared" si="3"/>
        <v>0.25089744355334531</v>
      </c>
      <c r="O257" s="50">
        <f t="shared" si="3"/>
        <v>0.24192908868014573</v>
      </c>
    </row>
    <row r="258" spans="2:15" x14ac:dyDescent="0.3">
      <c r="B258" s="20" t="s">
        <v>259</v>
      </c>
      <c r="C258" s="47">
        <f>LE_BRA!C210</f>
        <v>5.4632041422043507</v>
      </c>
      <c r="D258" s="60">
        <f>LE_IND!C210</f>
        <v>4.3903187995273951</v>
      </c>
      <c r="E258" s="50">
        <f>LE_ZAF!C210</f>
        <v>3.9404279115348051</v>
      </c>
      <c r="G258" s="20" t="s">
        <v>659</v>
      </c>
      <c r="H258" s="47">
        <f>LE_BRA!AD210</f>
        <v>5.2216541128275171</v>
      </c>
      <c r="I258" s="60">
        <f>LE_IND!AD210</f>
        <v>4.1393966220429705</v>
      </c>
      <c r="J258" s="50">
        <f>LE_ZAF!AD210</f>
        <v>3.7072369733601906</v>
      </c>
      <c r="L258" s="20" t="s">
        <v>1059</v>
      </c>
      <c r="M258" s="47">
        <f t="shared" si="3"/>
        <v>0.24155002937683356</v>
      </c>
      <c r="N258" s="60">
        <f t="shared" si="3"/>
        <v>0.25092217748442458</v>
      </c>
      <c r="O258" s="50">
        <f t="shared" si="3"/>
        <v>0.23319093817461445</v>
      </c>
    </row>
    <row r="259" spans="2:15" x14ac:dyDescent="0.3">
      <c r="B259" s="20" t="s">
        <v>260</v>
      </c>
      <c r="C259" s="47">
        <f>LE_BRA!C211</f>
        <v>4.2247760710158611</v>
      </c>
      <c r="D259" s="60">
        <f>LE_IND!C211</f>
        <v>3.2157321364953044</v>
      </c>
      <c r="E259" s="50">
        <f>LE_ZAF!C211</f>
        <v>2.692044458461111</v>
      </c>
      <c r="G259" s="20" t="s">
        <v>660</v>
      </c>
      <c r="H259" s="47">
        <f>LE_BRA!AD211</f>
        <v>3.9852458632103387</v>
      </c>
      <c r="I259" s="60">
        <f>LE_IND!AD211</f>
        <v>2.9808962427938943</v>
      </c>
      <c r="J259" s="50">
        <f>LE_ZAF!AD211</f>
        <v>2.4862320493294052</v>
      </c>
      <c r="L259" s="20" t="s">
        <v>1060</v>
      </c>
      <c r="M259" s="47">
        <f t="shared" si="3"/>
        <v>0.23953020780552237</v>
      </c>
      <c r="N259" s="60">
        <f t="shared" si="3"/>
        <v>0.23483589370141011</v>
      </c>
      <c r="O259" s="50">
        <f t="shared" si="3"/>
        <v>0.20581240913170573</v>
      </c>
    </row>
    <row r="260" spans="2:15" x14ac:dyDescent="0.3">
      <c r="B260" s="20" t="s">
        <v>261</v>
      </c>
      <c r="C260" s="47">
        <f>LE_BRA!C212</f>
        <v>10.483706073091039</v>
      </c>
      <c r="D260" s="60">
        <f>LE_IND!C212</f>
        <v>10.380103759739344</v>
      </c>
      <c r="E260" s="50">
        <f>LE_ZAF!C212</f>
        <v>10.210159255814636</v>
      </c>
      <c r="G260" s="20" t="s">
        <v>661</v>
      </c>
      <c r="H260" s="47">
        <f>LE_BRA!AD212</f>
        <v>10.451751962294935</v>
      </c>
      <c r="I260" s="60">
        <f>LE_IND!AD212</f>
        <v>10.340753974353666</v>
      </c>
      <c r="J260" s="50">
        <f>LE_ZAF!AD212</f>
        <v>10.154527616614912</v>
      </c>
      <c r="L260" s="20" t="s">
        <v>1061</v>
      </c>
      <c r="M260" s="47">
        <f t="shared" si="3"/>
        <v>3.1954110796103663E-2</v>
      </c>
      <c r="N260" s="60">
        <f t="shared" si="3"/>
        <v>3.9349785385677905E-2</v>
      </c>
      <c r="O260" s="50">
        <f t="shared" si="3"/>
        <v>5.5631639199724248E-2</v>
      </c>
    </row>
    <row r="261" spans="2:15" x14ac:dyDescent="0.3">
      <c r="B261" s="20" t="s">
        <v>262</v>
      </c>
      <c r="C261" s="47">
        <f>LE_BRA!C213</f>
        <v>10.391767854531924</v>
      </c>
      <c r="D261" s="60">
        <f>LE_IND!C213</f>
        <v>10.290722906721088</v>
      </c>
      <c r="E261" s="50">
        <f>LE_ZAF!C213</f>
        <v>10.08734233663705</v>
      </c>
      <c r="G261" s="20" t="s">
        <v>662</v>
      </c>
      <c r="H261" s="47">
        <f>LE_BRA!AD213</f>
        <v>10.353060407348492</v>
      </c>
      <c r="I261" s="60">
        <f>LE_IND!AD213</f>
        <v>10.246794507191847</v>
      </c>
      <c r="J261" s="50">
        <f>LE_ZAF!AD213</f>
        <v>10.024347390116507</v>
      </c>
      <c r="L261" s="20" t="s">
        <v>1062</v>
      </c>
      <c r="M261" s="47">
        <f t="shared" si="3"/>
        <v>3.8707447183432109E-2</v>
      </c>
      <c r="N261" s="60">
        <f t="shared" si="3"/>
        <v>4.3928399529240991E-2</v>
      </c>
      <c r="O261" s="50">
        <f t="shared" si="3"/>
        <v>6.2994946520543493E-2</v>
      </c>
    </row>
    <row r="262" spans="2:15" x14ac:dyDescent="0.3">
      <c r="B262" s="20" t="s">
        <v>263</v>
      </c>
      <c r="C262" s="47">
        <f>LE_BRA!C214</f>
        <v>10.268597185833992</v>
      </c>
      <c r="D262" s="60">
        <f>LE_IND!C214</f>
        <v>10.15297854465684</v>
      </c>
      <c r="E262" s="50">
        <f>LE_ZAF!C214</f>
        <v>9.9003106988146623</v>
      </c>
      <c r="G262" s="20" t="s">
        <v>663</v>
      </c>
      <c r="H262" s="47">
        <f>LE_BRA!AD214</f>
        <v>10.220465891087319</v>
      </c>
      <c r="I262" s="60">
        <f>LE_IND!AD214</f>
        <v>10.099976042626055</v>
      </c>
      <c r="J262" s="50">
        <f>LE_ZAF!AD214</f>
        <v>9.8238297906652949</v>
      </c>
      <c r="L262" s="20" t="s">
        <v>1063</v>
      </c>
      <c r="M262" s="47">
        <f t="shared" si="3"/>
        <v>4.8131294746672992E-2</v>
      </c>
      <c r="N262" s="60">
        <f t="shared" si="3"/>
        <v>5.3002502030784271E-2</v>
      </c>
      <c r="O262" s="50">
        <f t="shared" si="3"/>
        <v>7.6480908149367366E-2</v>
      </c>
    </row>
    <row r="263" spans="2:15" x14ac:dyDescent="0.3">
      <c r="B263" s="20" t="s">
        <v>264</v>
      </c>
      <c r="C263" s="47">
        <f>LE_BRA!C215</f>
        <v>10.123789902322931</v>
      </c>
      <c r="D263" s="60">
        <f>LE_IND!C215</f>
        <v>9.9803231117620594</v>
      </c>
      <c r="E263" s="50">
        <f>LE_ZAF!C215</f>
        <v>9.6646643787181503</v>
      </c>
      <c r="G263" s="20" t="s">
        <v>664</v>
      </c>
      <c r="H263" s="47">
        <f>LE_BRA!AD215</f>
        <v>10.065277958356557</v>
      </c>
      <c r="I263" s="60">
        <f>LE_IND!AD215</f>
        <v>9.9161283725387417</v>
      </c>
      <c r="J263" s="50">
        <f>LE_ZAF!AD215</f>
        <v>9.5713061420408092</v>
      </c>
      <c r="L263" s="20" t="s">
        <v>1064</v>
      </c>
      <c r="M263" s="47">
        <f t="shared" si="3"/>
        <v>5.8511943966374602E-2</v>
      </c>
      <c r="N263" s="60">
        <f t="shared" si="3"/>
        <v>6.4194739223317754E-2</v>
      </c>
      <c r="O263" s="50">
        <f t="shared" si="3"/>
        <v>9.3358236677341111E-2</v>
      </c>
    </row>
    <row r="264" spans="2:15" x14ac:dyDescent="0.3">
      <c r="B264" s="20" t="s">
        <v>265</v>
      </c>
      <c r="C264" s="47">
        <f>LE_BRA!C216</f>
        <v>9.9649349843859962</v>
      </c>
      <c r="D264" s="60">
        <f>LE_IND!C216</f>
        <v>9.7745427602740307</v>
      </c>
      <c r="E264" s="50">
        <f>LE_ZAF!C216</f>
        <v>9.3864184276786649</v>
      </c>
      <c r="G264" s="20" t="s">
        <v>665</v>
      </c>
      <c r="H264" s="47">
        <f>LE_BRA!AD216</f>
        <v>9.8965986832080084</v>
      </c>
      <c r="I264" s="60">
        <f>LE_IND!AD216</f>
        <v>9.6979482834366006</v>
      </c>
      <c r="J264" s="50">
        <f>LE_ZAF!AD216</f>
        <v>9.2743143373976267</v>
      </c>
      <c r="L264" s="20" t="s">
        <v>1065</v>
      </c>
      <c r="M264" s="47">
        <f t="shared" si="3"/>
        <v>6.8336301177987835E-2</v>
      </c>
      <c r="N264" s="60">
        <f t="shared" si="3"/>
        <v>7.6594476837430037E-2</v>
      </c>
      <c r="O264" s="50">
        <f t="shared" si="3"/>
        <v>0.11210409028103818</v>
      </c>
    </row>
    <row r="265" spans="2:15" x14ac:dyDescent="0.3">
      <c r="B265" s="20" t="s">
        <v>266</v>
      </c>
      <c r="C265" s="47">
        <f>LE_BRA!C217</f>
        <v>9.7756237549708782</v>
      </c>
      <c r="D265" s="60">
        <f>LE_IND!C217</f>
        <v>9.5248486783752266</v>
      </c>
      <c r="E265" s="50">
        <f>LE_ZAF!C217</f>
        <v>9.0667747227427764</v>
      </c>
      <c r="G265" s="20" t="s">
        <v>666</v>
      </c>
      <c r="H265" s="47">
        <f>LE_BRA!AD217</f>
        <v>9.6964602408083973</v>
      </c>
      <c r="I265" s="60">
        <f>LE_IND!AD217</f>
        <v>9.4340459547601725</v>
      </c>
      <c r="J265" s="50">
        <f>LE_ZAF!AD217</f>
        <v>8.9350273634231439</v>
      </c>
      <c r="L265" s="20" t="s">
        <v>1066</v>
      </c>
      <c r="M265" s="47">
        <f t="shared" si="3"/>
        <v>7.9163514162480908E-2</v>
      </c>
      <c r="N265" s="60">
        <f t="shared" si="3"/>
        <v>9.0802723615054148E-2</v>
      </c>
      <c r="O265" s="50">
        <f t="shared" si="3"/>
        <v>0.13174735931963255</v>
      </c>
    </row>
    <row r="266" spans="2:15" x14ac:dyDescent="0.3">
      <c r="B266" s="20" t="s">
        <v>267</v>
      </c>
      <c r="C266" s="47">
        <f>LE_BRA!C218</f>
        <v>9.5365016969350105</v>
      </c>
      <c r="D266" s="60">
        <f>LE_IND!C218</f>
        <v>9.2163756873579512</v>
      </c>
      <c r="E266" s="50">
        <f>LE_ZAF!C218</f>
        <v>8.705562504621815</v>
      </c>
      <c r="G266" s="20" t="s">
        <v>667</v>
      </c>
      <c r="H266" s="47">
        <f>LE_BRA!AD218</f>
        <v>9.4437416937331538</v>
      </c>
      <c r="I266" s="60">
        <f>LE_IND!AD218</f>
        <v>9.1086275966172607</v>
      </c>
      <c r="J266" s="50">
        <f>LE_ZAF!AD218</f>
        <v>8.5541710555934518</v>
      </c>
      <c r="L266" s="20" t="s">
        <v>1067</v>
      </c>
      <c r="M266" s="47">
        <f t="shared" si="3"/>
        <v>9.2760003201856733E-2</v>
      </c>
      <c r="N266" s="60">
        <f t="shared" si="3"/>
        <v>0.10774809074069047</v>
      </c>
      <c r="O266" s="50">
        <f t="shared" si="3"/>
        <v>0.15139144902836321</v>
      </c>
    </row>
    <row r="267" spans="2:15" x14ac:dyDescent="0.3">
      <c r="B267" s="20" t="s">
        <v>268</v>
      </c>
      <c r="C267" s="47">
        <f>LE_BRA!C219</f>
        <v>9.2434458303572526</v>
      </c>
      <c r="D267" s="60">
        <f>LE_IND!C219</f>
        <v>8.8426408775112844</v>
      </c>
      <c r="E267" s="50">
        <f>LE_ZAF!C219</f>
        <v>8.3064237122500462</v>
      </c>
      <c r="G267" s="20" t="s">
        <v>668</v>
      </c>
      <c r="H267" s="47">
        <f>LE_BRA!AD219</f>
        <v>9.1347511527938536</v>
      </c>
      <c r="I267" s="60">
        <f>LE_IND!AD219</f>
        <v>8.7155905307555166</v>
      </c>
      <c r="J267" s="50">
        <f>LE_ZAF!AD219</f>
        <v>8.1368463102701138</v>
      </c>
      <c r="L267" s="20" t="s">
        <v>1068</v>
      </c>
      <c r="M267" s="47">
        <f t="shared" si="3"/>
        <v>0.10869467756339901</v>
      </c>
      <c r="N267" s="60">
        <f t="shared" si="3"/>
        <v>0.12705034675576776</v>
      </c>
      <c r="O267" s="50">
        <f t="shared" si="3"/>
        <v>0.16957740197993232</v>
      </c>
    </row>
    <row r="268" spans="2:15" x14ac:dyDescent="0.3">
      <c r="B268" s="20" t="s">
        <v>269</v>
      </c>
      <c r="C268" s="47">
        <f>LE_BRA!C220</f>
        <v>8.8882363539573515</v>
      </c>
      <c r="D268" s="60">
        <f>LE_IND!C220</f>
        <v>8.3946298718520325</v>
      </c>
      <c r="E268" s="50">
        <f>LE_ZAF!C220</f>
        <v>7.8670249916062733</v>
      </c>
      <c r="G268" s="20" t="s">
        <v>669</v>
      </c>
      <c r="H268" s="47">
        <f>LE_BRA!AD220</f>
        <v>8.7613679243956195</v>
      </c>
      <c r="I268" s="60">
        <f>LE_IND!AD220</f>
        <v>8.2461970919171996</v>
      </c>
      <c r="J268" s="50">
        <f>LE_ZAF!AD220</f>
        <v>7.6816610038718522</v>
      </c>
      <c r="L268" s="20" t="s">
        <v>1069</v>
      </c>
      <c r="M268" s="47">
        <f t="shared" si="3"/>
        <v>0.12686842956173194</v>
      </c>
      <c r="N268" s="60">
        <f t="shared" si="3"/>
        <v>0.14843277993483284</v>
      </c>
      <c r="O268" s="50">
        <f t="shared" si="3"/>
        <v>0.18536398773442109</v>
      </c>
    </row>
    <row r="269" spans="2:15" x14ac:dyDescent="0.3">
      <c r="B269" s="20" t="s">
        <v>270</v>
      </c>
      <c r="C269" s="47">
        <f>LE_BRA!C221</f>
        <v>8.4642211447168911</v>
      </c>
      <c r="D269" s="60">
        <f>LE_IND!C221</f>
        <v>7.8625704355025103</v>
      </c>
      <c r="E269" s="50">
        <f>LE_ZAF!C221</f>
        <v>7.3652194018317685</v>
      </c>
      <c r="G269" s="20" t="s">
        <v>670</v>
      </c>
      <c r="H269" s="47">
        <f>LE_BRA!AD221</f>
        <v>8.3174374877408859</v>
      </c>
      <c r="I269" s="60">
        <f>LE_IND!AD221</f>
        <v>7.6910472427847836</v>
      </c>
      <c r="J269" s="50">
        <f>LE_ZAF!AD221</f>
        <v>7.1652945235251302</v>
      </c>
      <c r="L269" s="20" t="s">
        <v>1070</v>
      </c>
      <c r="M269" s="47">
        <f t="shared" si="3"/>
        <v>0.14678365697600526</v>
      </c>
      <c r="N269" s="60">
        <f t="shared" si="3"/>
        <v>0.17152319271772676</v>
      </c>
      <c r="O269" s="50">
        <f t="shared" si="3"/>
        <v>0.1999248783066383</v>
      </c>
    </row>
    <row r="270" spans="2:15" x14ac:dyDescent="0.3">
      <c r="B270" s="20" t="s">
        <v>271</v>
      </c>
      <c r="C270" s="47">
        <f>LE_BRA!C222</f>
        <v>7.9688009697855584</v>
      </c>
      <c r="D270" s="60">
        <f>LE_IND!C222</f>
        <v>7.2512369358094926</v>
      </c>
      <c r="E270" s="50">
        <f>LE_ZAF!C222</f>
        <v>6.7930711919921531</v>
      </c>
      <c r="G270" s="20" t="s">
        <v>671</v>
      </c>
      <c r="H270" s="47">
        <f>LE_BRA!AD222</f>
        <v>7.8015507503007075</v>
      </c>
      <c r="I270" s="60">
        <f>LE_IND!AD222</f>
        <v>7.0570763063772164</v>
      </c>
      <c r="J270" s="50">
        <f>LE_ZAF!AD222</f>
        <v>6.5805043974072701</v>
      </c>
      <c r="L270" s="20" t="s">
        <v>1071</v>
      </c>
      <c r="M270" s="47">
        <f t="shared" si="3"/>
        <v>0.16725021948485086</v>
      </c>
      <c r="N270" s="60">
        <f t="shared" si="3"/>
        <v>0.19416062943227619</v>
      </c>
      <c r="O270" s="50">
        <f t="shared" si="3"/>
        <v>0.21256679458488303</v>
      </c>
    </row>
    <row r="271" spans="2:15" x14ac:dyDescent="0.3">
      <c r="B271" s="20" t="s">
        <v>272</v>
      </c>
      <c r="C271" s="47">
        <f>LE_BRA!C223</f>
        <v>7.3937760093261362</v>
      </c>
      <c r="D271" s="60">
        <f>LE_IND!C223</f>
        <v>6.5699466763655776</v>
      </c>
      <c r="E271" s="50">
        <f>LE_ZAF!C223</f>
        <v>6.1393347544682024</v>
      </c>
      <c r="G271" s="20" t="s">
        <v>672</v>
      </c>
      <c r="H271" s="47">
        <f>LE_BRA!AD223</f>
        <v>7.2061710873376352</v>
      </c>
      <c r="I271" s="60">
        <f>LE_IND!AD223</f>
        <v>6.356155720098009</v>
      </c>
      <c r="J271" s="50">
        <f>LE_ZAF!AD223</f>
        <v>5.9164998312817376</v>
      </c>
      <c r="L271" s="20" t="s">
        <v>1072</v>
      </c>
      <c r="M271" s="47">
        <f t="shared" si="3"/>
        <v>0.18760492198850098</v>
      </c>
      <c r="N271" s="60">
        <f t="shared" si="3"/>
        <v>0.21379095626756861</v>
      </c>
      <c r="O271" s="50">
        <f t="shared" si="3"/>
        <v>0.22283492318646481</v>
      </c>
    </row>
    <row r="272" spans="2:15" x14ac:dyDescent="0.3">
      <c r="B272" s="20" t="s">
        <v>273</v>
      </c>
      <c r="C272" s="47">
        <f>LE_BRA!C224</f>
        <v>6.7378029175776444</v>
      </c>
      <c r="D272" s="60">
        <f>LE_IND!C224</f>
        <v>5.8187431331085069</v>
      </c>
      <c r="E272" s="50">
        <f>LE_ZAF!C224</f>
        <v>5.3999411779525346</v>
      </c>
      <c r="G272" s="20" t="s">
        <v>673</v>
      </c>
      <c r="H272" s="47">
        <f>LE_BRA!AD224</f>
        <v>6.5314518669295989</v>
      </c>
      <c r="I272" s="60">
        <f>LE_IND!AD224</f>
        <v>5.5894999165355772</v>
      </c>
      <c r="J272" s="50">
        <f>LE_ZAF!AD224</f>
        <v>5.1702099583225305</v>
      </c>
      <c r="L272" s="20" t="s">
        <v>1073</v>
      </c>
      <c r="M272" s="47">
        <f t="shared" si="3"/>
        <v>0.20635105064804549</v>
      </c>
      <c r="N272" s="60">
        <f t="shared" si="3"/>
        <v>0.22924321657292968</v>
      </c>
      <c r="O272" s="50">
        <f t="shared" si="3"/>
        <v>0.22973121963000409</v>
      </c>
    </row>
    <row r="273" spans="2:15" x14ac:dyDescent="0.3">
      <c r="B273" s="20" t="s">
        <v>274</v>
      </c>
      <c r="C273" s="47">
        <f>LE_BRA!C225</f>
        <v>6.0112414003070338</v>
      </c>
      <c r="D273" s="60">
        <f>LE_IND!C225</f>
        <v>5.0124027065785111</v>
      </c>
      <c r="E273" s="50">
        <f>LE_ZAF!C225</f>
        <v>4.5963205236161588</v>
      </c>
      <c r="G273" s="20" t="s">
        <v>674</v>
      </c>
      <c r="H273" s="47">
        <f>LE_BRA!AD225</f>
        <v>5.7903742354411181</v>
      </c>
      <c r="I273" s="60">
        <f>LE_IND!AD225</f>
        <v>4.773799747511732</v>
      </c>
      <c r="J273" s="50">
        <f>LE_ZAF!AD225</f>
        <v>4.365982170439624</v>
      </c>
      <c r="L273" s="20" t="s">
        <v>1074</v>
      </c>
      <c r="M273" s="47">
        <f t="shared" si="3"/>
        <v>0.22086716486591573</v>
      </c>
      <c r="N273" s="60">
        <f t="shared" si="3"/>
        <v>0.23860295906677909</v>
      </c>
      <c r="O273" s="50">
        <f t="shared" si="3"/>
        <v>0.23033835317653484</v>
      </c>
    </row>
    <row r="274" spans="2:15" x14ac:dyDescent="0.3">
      <c r="B274" s="20" t="s">
        <v>275</v>
      </c>
      <c r="C274" s="47">
        <f>LE_BRA!C226</f>
        <v>5.2206968446669011</v>
      </c>
      <c r="D274" s="60">
        <f>LE_IND!C226</f>
        <v>4.1941897336806866</v>
      </c>
      <c r="E274" s="50">
        <f>LE_ZAF!C226</f>
        <v>3.7594878972605925</v>
      </c>
      <c r="G274" s="20" t="s">
        <v>675</v>
      </c>
      <c r="H274" s="47">
        <f>LE_BRA!AD226</f>
        <v>4.9913401691014752</v>
      </c>
      <c r="I274" s="60">
        <f>LE_IND!AD226</f>
        <v>3.955385076768795</v>
      </c>
      <c r="J274" s="50">
        <f>LE_ZAF!AD226</f>
        <v>3.5373324655963643</v>
      </c>
      <c r="L274" s="20" t="s">
        <v>1075</v>
      </c>
      <c r="M274" s="47">
        <f t="shared" si="3"/>
        <v>0.22935667556542594</v>
      </c>
      <c r="N274" s="60">
        <f t="shared" si="3"/>
        <v>0.23880465691189157</v>
      </c>
      <c r="O274" s="50">
        <f t="shared" si="3"/>
        <v>0.22215543166422824</v>
      </c>
    </row>
    <row r="275" spans="2:15" x14ac:dyDescent="0.3">
      <c r="B275" s="20" t="s">
        <v>276</v>
      </c>
      <c r="C275" s="47">
        <f>LE_BRA!C227</f>
        <v>4.0374439719082957</v>
      </c>
      <c r="D275" s="60">
        <f>LE_IND!C227</f>
        <v>3.071970057756733</v>
      </c>
      <c r="E275" s="50">
        <f>LE_ZAF!C227</f>
        <v>2.5696488765605219</v>
      </c>
      <c r="G275" s="20" t="s">
        <v>676</v>
      </c>
      <c r="H275" s="47">
        <f>LE_BRA!AD227</f>
        <v>3.8096958988156659</v>
      </c>
      <c r="I275" s="60">
        <f>LE_IND!AD227</f>
        <v>2.848265106840723</v>
      </c>
      <c r="J275" s="50">
        <f>LE_ZAF!AD227</f>
        <v>2.3734231808515278</v>
      </c>
      <c r="L275" s="20" t="s">
        <v>1076</v>
      </c>
      <c r="M275" s="47">
        <f t="shared" si="3"/>
        <v>0.22774807309262979</v>
      </c>
      <c r="N275" s="60">
        <f t="shared" si="3"/>
        <v>0.22370495091601006</v>
      </c>
      <c r="O275" s="50">
        <f t="shared" si="3"/>
        <v>0.19622569570899406</v>
      </c>
    </row>
    <row r="276" spans="2:15" x14ac:dyDescent="0.3">
      <c r="B276" s="20" t="s">
        <v>277</v>
      </c>
      <c r="C276" s="47">
        <f>LE_BRA!C228</f>
        <v>9.988387739968049</v>
      </c>
      <c r="D276" s="60">
        <f>LE_IND!C228</f>
        <v>9.8895395860558839</v>
      </c>
      <c r="E276" s="50">
        <f>LE_ZAF!C228</f>
        <v>9.7298103934496911</v>
      </c>
      <c r="G276" s="20" t="s">
        <v>677</v>
      </c>
      <c r="H276" s="47">
        <f>LE_BRA!AD228</f>
        <v>9.9583609764349816</v>
      </c>
      <c r="I276" s="60">
        <f>LE_IND!AD228</f>
        <v>9.8524405867753853</v>
      </c>
      <c r="J276" s="50">
        <f>LE_ZAF!AD228</f>
        <v>9.6774435192406756</v>
      </c>
      <c r="L276" s="20" t="s">
        <v>1077</v>
      </c>
      <c r="M276" s="47">
        <f t="shared" si="3"/>
        <v>3.0026763533067324E-2</v>
      </c>
      <c r="N276" s="60">
        <f t="shared" si="3"/>
        <v>3.7098999280498646E-2</v>
      </c>
      <c r="O276" s="50">
        <f t="shared" si="3"/>
        <v>5.2366874209015535E-2</v>
      </c>
    </row>
    <row r="277" spans="2:15" x14ac:dyDescent="0.3">
      <c r="B277" s="20" t="s">
        <v>278</v>
      </c>
      <c r="C277" s="47">
        <f>LE_BRA!C229</f>
        <v>9.9015841475862043</v>
      </c>
      <c r="D277" s="60">
        <f>LE_IND!C229</f>
        <v>9.8043958403429681</v>
      </c>
      <c r="E277" s="50">
        <f>LE_ZAF!C229</f>
        <v>9.6133253322306071</v>
      </c>
      <c r="G277" s="20" t="s">
        <v>678</v>
      </c>
      <c r="H277" s="47">
        <f>LE_BRA!AD229</f>
        <v>9.8651944907902536</v>
      </c>
      <c r="I277" s="60">
        <f>LE_IND!AD229</f>
        <v>9.7628999435808446</v>
      </c>
      <c r="J277" s="50">
        <f>LE_ZAF!AD229</f>
        <v>9.5539686811495308</v>
      </c>
      <c r="L277" s="20" t="s">
        <v>1078</v>
      </c>
      <c r="M277" s="47">
        <f t="shared" si="3"/>
        <v>3.6389656795950742E-2</v>
      </c>
      <c r="N277" s="60">
        <f t="shared" si="3"/>
        <v>4.1495896762123508E-2</v>
      </c>
      <c r="O277" s="50">
        <f t="shared" si="3"/>
        <v>5.935665108107635E-2</v>
      </c>
    </row>
    <row r="278" spans="2:15" x14ac:dyDescent="0.3">
      <c r="B278" s="20" t="s">
        <v>279</v>
      </c>
      <c r="C278" s="47">
        <f>LE_BRA!C230</f>
        <v>9.7853778656807329</v>
      </c>
      <c r="D278" s="60">
        <f>LE_IND!C230</f>
        <v>9.6738055056928367</v>
      </c>
      <c r="E278" s="50">
        <f>LE_ZAF!C230</f>
        <v>9.4364319947466804</v>
      </c>
      <c r="G278" s="20" t="s">
        <v>679</v>
      </c>
      <c r="H278" s="47">
        <f>LE_BRA!AD230</f>
        <v>9.7401192339494944</v>
      </c>
      <c r="I278" s="60">
        <f>LE_IND!AD230</f>
        <v>9.623704790328059</v>
      </c>
      <c r="J278" s="50">
        <f>LE_ZAF!AD230</f>
        <v>9.3643419701893436</v>
      </c>
      <c r="L278" s="20" t="s">
        <v>1079</v>
      </c>
      <c r="M278" s="47">
        <f t="shared" si="3"/>
        <v>4.5258631731238452E-2</v>
      </c>
      <c r="N278" s="60">
        <f t="shared" si="3"/>
        <v>5.010071536477767E-2</v>
      </c>
      <c r="O278" s="50">
        <f t="shared" si="3"/>
        <v>7.2090024557336818E-2</v>
      </c>
    </row>
    <row r="279" spans="2:15" x14ac:dyDescent="0.3">
      <c r="B279" s="20" t="s">
        <v>280</v>
      </c>
      <c r="C279" s="47">
        <f>LE_BRA!C231</f>
        <v>9.6485838667273693</v>
      </c>
      <c r="D279" s="60">
        <f>LE_IND!C231</f>
        <v>9.5101460856466815</v>
      </c>
      <c r="E279" s="50">
        <f>LE_ZAF!C231</f>
        <v>9.2135635517537153</v>
      </c>
      <c r="G279" s="20" t="s">
        <v>680</v>
      </c>
      <c r="H279" s="47">
        <f>LE_BRA!AD231</f>
        <v>9.5935374802784956</v>
      </c>
      <c r="I279" s="60">
        <f>LE_IND!AD231</f>
        <v>9.4494364732724332</v>
      </c>
      <c r="J279" s="50">
        <f>LE_ZAF!AD231</f>
        <v>9.1255407654164262</v>
      </c>
      <c r="L279" s="20" t="s">
        <v>1080</v>
      </c>
      <c r="M279" s="47">
        <f t="shared" si="3"/>
        <v>5.5046386448873719E-2</v>
      </c>
      <c r="N279" s="60">
        <f t="shared" si="3"/>
        <v>6.0709612374248323E-2</v>
      </c>
      <c r="O279" s="50">
        <f t="shared" si="3"/>
        <v>8.8022786337289105E-2</v>
      </c>
    </row>
    <row r="280" spans="2:15" x14ac:dyDescent="0.3">
      <c r="B280" s="20" t="s">
        <v>281</v>
      </c>
      <c r="C280" s="47">
        <f>LE_BRA!C232</f>
        <v>9.4981619366246903</v>
      </c>
      <c r="D280" s="60">
        <f>LE_IND!C232</f>
        <v>9.3150078493136661</v>
      </c>
      <c r="E280" s="50">
        <f>LE_ZAF!C232</f>
        <v>8.950188530146141</v>
      </c>
      <c r="G280" s="20" t="s">
        <v>681</v>
      </c>
      <c r="H280" s="47">
        <f>LE_BRA!AD232</f>
        <v>9.4338135598906003</v>
      </c>
      <c r="I280" s="60">
        <f>LE_IND!AD232</f>
        <v>9.2425357165234292</v>
      </c>
      <c r="J280" s="50">
        <f>LE_ZAF!AD232</f>
        <v>8.8444505918892702</v>
      </c>
      <c r="L280" s="20" t="s">
        <v>1081</v>
      </c>
      <c r="M280" s="47">
        <f t="shared" si="3"/>
        <v>6.4348376734089996E-2</v>
      </c>
      <c r="N280" s="60">
        <f t="shared" si="3"/>
        <v>7.2472132790236898E-2</v>
      </c>
      <c r="O280" s="50">
        <f t="shared" si="3"/>
        <v>0.10573793825687083</v>
      </c>
    </row>
    <row r="281" spans="2:15" x14ac:dyDescent="0.3">
      <c r="B281" s="20" t="s">
        <v>282</v>
      </c>
      <c r="C281" s="47">
        <f>LE_BRA!C233</f>
        <v>9.3187566555850605</v>
      </c>
      <c r="D281" s="60">
        <f>LE_IND!C233</f>
        <v>9.0781639628534467</v>
      </c>
      <c r="E281" s="50">
        <f>LE_ZAF!C233</f>
        <v>8.6471232230048027</v>
      </c>
      <c r="G281" s="20" t="s">
        <v>682</v>
      </c>
      <c r="H281" s="47">
        <f>LE_BRA!AD233</f>
        <v>9.2441404210132188</v>
      </c>
      <c r="I281" s="60">
        <f>LE_IND!AD233</f>
        <v>8.9922068192457996</v>
      </c>
      <c r="J281" s="50">
        <f>LE_ZAF!AD233</f>
        <v>8.522773669183362</v>
      </c>
      <c r="L281" s="20" t="s">
        <v>1082</v>
      </c>
      <c r="M281" s="47">
        <f t="shared" si="3"/>
        <v>7.4616234571841744E-2</v>
      </c>
      <c r="N281" s="60">
        <f t="shared" si="3"/>
        <v>8.5957143607647168E-2</v>
      </c>
      <c r="O281" s="50">
        <f t="shared" si="3"/>
        <v>0.12434955382144075</v>
      </c>
    </row>
    <row r="282" spans="2:15" x14ac:dyDescent="0.3">
      <c r="B282" s="20" t="s">
        <v>283</v>
      </c>
      <c r="C282" s="47">
        <f>LE_BRA!C234</f>
        <v>9.092204650793585</v>
      </c>
      <c r="D282" s="60">
        <f>LE_IND!C234</f>
        <v>8.7855206631265421</v>
      </c>
      <c r="E282" s="50">
        <f>LE_ZAF!C234</f>
        <v>8.3039088559483183</v>
      </c>
      <c r="G282" s="20" t="s">
        <v>683</v>
      </c>
      <c r="H282" s="47">
        <f>LE_BRA!AD234</f>
        <v>9.0047042469182053</v>
      </c>
      <c r="I282" s="60">
        <f>LE_IND!AD234</f>
        <v>8.6834766069762743</v>
      </c>
      <c r="J282" s="50">
        <f>LE_ZAF!AD234</f>
        <v>8.1608735540699655</v>
      </c>
      <c r="L282" s="20" t="s">
        <v>1083</v>
      </c>
      <c r="M282" s="47">
        <f t="shared" si="3"/>
        <v>8.7500403875379718E-2</v>
      </c>
      <c r="N282" s="60">
        <f t="shared" si="3"/>
        <v>0.10204405615026779</v>
      </c>
      <c r="O282" s="50">
        <f t="shared" si="3"/>
        <v>0.14303530187835278</v>
      </c>
    </row>
    <row r="283" spans="2:15" x14ac:dyDescent="0.3">
      <c r="B283" s="20" t="s">
        <v>284</v>
      </c>
      <c r="C283" s="47">
        <f>LE_BRA!C235</f>
        <v>8.8144742210202605</v>
      </c>
      <c r="D283" s="60">
        <f>LE_IND!C235</f>
        <v>8.4308323919482291</v>
      </c>
      <c r="E283" s="50">
        <f>LE_ZAF!C235</f>
        <v>7.9238218191987544</v>
      </c>
      <c r="G283" s="20" t="s">
        <v>684</v>
      </c>
      <c r="H283" s="47">
        <f>LE_BRA!AD235</f>
        <v>8.711867703885801</v>
      </c>
      <c r="I283" s="60">
        <f>LE_IND!AD235</f>
        <v>8.3104498729373102</v>
      </c>
      <c r="J283" s="50">
        <f>LE_ZAF!AD235</f>
        <v>7.7634008356050215</v>
      </c>
      <c r="L283" s="20" t="s">
        <v>1084</v>
      </c>
      <c r="M283" s="47">
        <f t="shared" si="3"/>
        <v>0.10260651713445945</v>
      </c>
      <c r="N283" s="60">
        <f t="shared" si="3"/>
        <v>0.1203825190109189</v>
      </c>
      <c r="O283" s="50">
        <f t="shared" si="3"/>
        <v>0.16042098359373291</v>
      </c>
    </row>
    <row r="284" spans="2:15" x14ac:dyDescent="0.3">
      <c r="B284" s="20" t="s">
        <v>285</v>
      </c>
      <c r="C284" s="47">
        <f>LE_BRA!C236</f>
        <v>8.4776994193190713</v>
      </c>
      <c r="D284" s="60">
        <f>LE_IND!C236</f>
        <v>8.0054835579580406</v>
      </c>
      <c r="E284" s="50">
        <f>LE_ZAF!C236</f>
        <v>7.5046321315506948</v>
      </c>
      <c r="G284" s="20" t="s">
        <v>685</v>
      </c>
      <c r="H284" s="47">
        <f>LE_BRA!AD236</f>
        <v>8.3578521863737656</v>
      </c>
      <c r="I284" s="60">
        <f>LE_IND!AD236</f>
        <v>7.8647686789567155</v>
      </c>
      <c r="J284" s="50">
        <f>LE_ZAF!AD236</f>
        <v>7.3290258015987177</v>
      </c>
      <c r="L284" s="20" t="s">
        <v>1085</v>
      </c>
      <c r="M284" s="47">
        <f t="shared" si="3"/>
        <v>0.11984723294530575</v>
      </c>
      <c r="N284" s="60">
        <f t="shared" si="3"/>
        <v>0.14071487900132507</v>
      </c>
      <c r="O284" s="50">
        <f t="shared" si="3"/>
        <v>0.175606329951977</v>
      </c>
    </row>
    <row r="285" spans="2:15" x14ac:dyDescent="0.3">
      <c r="B285" s="20" t="s">
        <v>286</v>
      </c>
      <c r="C285" s="47">
        <f>LE_BRA!C237</f>
        <v>8.0754701746683626</v>
      </c>
      <c r="D285" s="60">
        <f>LE_IND!C237</f>
        <v>7.5001734128384765</v>
      </c>
      <c r="E285" s="50">
        <f>LE_ZAF!C237</f>
        <v>7.0256909321649434</v>
      </c>
      <c r="G285" s="20" t="s">
        <v>686</v>
      </c>
      <c r="H285" s="47">
        <f>LE_BRA!AD237</f>
        <v>7.9367118458332602</v>
      </c>
      <c r="I285" s="60">
        <f>LE_IND!AD237</f>
        <v>7.3374871534868973</v>
      </c>
      <c r="J285" s="50">
        <f>LE_ZAF!AD237</f>
        <v>6.8360337780259339</v>
      </c>
      <c r="L285" s="20" t="s">
        <v>1086</v>
      </c>
      <c r="M285" s="47">
        <f t="shared" si="3"/>
        <v>0.13875832883510242</v>
      </c>
      <c r="N285" s="60">
        <f t="shared" si="3"/>
        <v>0.16268625935157921</v>
      </c>
      <c r="O285" s="50">
        <f t="shared" si="3"/>
        <v>0.18965715413900952</v>
      </c>
    </row>
    <row r="286" spans="2:15" x14ac:dyDescent="0.3">
      <c r="B286" s="20" t="s">
        <v>287</v>
      </c>
      <c r="C286" s="47">
        <f>LE_BRA!C238</f>
        <v>7.6051286045869597</v>
      </c>
      <c r="D286" s="60">
        <f>LE_IND!C238</f>
        <v>6.9192189322243847</v>
      </c>
      <c r="E286" s="50">
        <f>LE_ZAF!C238</f>
        <v>6.4796072138427858</v>
      </c>
      <c r="G286" s="20" t="s">
        <v>687</v>
      </c>
      <c r="H286" s="47">
        <f>LE_BRA!AD238</f>
        <v>7.4469029175204522</v>
      </c>
      <c r="I286" s="60">
        <f>LE_IND!AD238</f>
        <v>6.7349587908286619</v>
      </c>
      <c r="J286" s="50">
        <f>LE_ZAF!AD238</f>
        <v>6.2777138870054134</v>
      </c>
      <c r="L286" s="20" t="s">
        <v>1087</v>
      </c>
      <c r="M286" s="47">
        <f t="shared" si="3"/>
        <v>0.15822568706650753</v>
      </c>
      <c r="N286" s="60">
        <f t="shared" si="3"/>
        <v>0.18426014139572278</v>
      </c>
      <c r="O286" s="50">
        <f t="shared" si="3"/>
        <v>0.20189332683737238</v>
      </c>
    </row>
    <row r="287" spans="2:15" x14ac:dyDescent="0.3">
      <c r="B287" s="20" t="s">
        <v>288</v>
      </c>
      <c r="C287" s="47">
        <f>LE_BRA!C239</f>
        <v>7.0587368103393464</v>
      </c>
      <c r="D287" s="60">
        <f>LE_IND!C239</f>
        <v>6.2712103557621663</v>
      </c>
      <c r="E287" s="50">
        <f>LE_ZAF!C239</f>
        <v>5.8558827347385725</v>
      </c>
      <c r="G287" s="20" t="s">
        <v>688</v>
      </c>
      <c r="H287" s="47">
        <f>LE_BRA!AD239</f>
        <v>6.8811104086585306</v>
      </c>
      <c r="I287" s="60">
        <f>LE_IND!AD239</f>
        <v>6.0681855701346805</v>
      </c>
      <c r="J287" s="50">
        <f>LE_ZAF!AD239</f>
        <v>5.644022990408474</v>
      </c>
      <c r="L287" s="20" t="s">
        <v>1088</v>
      </c>
      <c r="M287" s="47">
        <f t="shared" si="3"/>
        <v>0.17762640168081578</v>
      </c>
      <c r="N287" s="60">
        <f t="shared" si="3"/>
        <v>0.20302478562748583</v>
      </c>
      <c r="O287" s="50">
        <f t="shared" si="3"/>
        <v>0.21185974433009847</v>
      </c>
    </row>
    <row r="288" spans="2:15" x14ac:dyDescent="0.3">
      <c r="B288" s="20" t="s">
        <v>289</v>
      </c>
      <c r="C288" s="47">
        <f>LE_BRA!C240</f>
        <v>6.4347410694932288</v>
      </c>
      <c r="D288" s="60">
        <f>LE_IND!C240</f>
        <v>5.5561263416472055</v>
      </c>
      <c r="E288" s="50">
        <f>LE_ZAF!C240</f>
        <v>5.1508218505261061</v>
      </c>
      <c r="G288" s="20" t="s">
        <v>689</v>
      </c>
      <c r="H288" s="47">
        <f>LE_BRA!AD240</f>
        <v>6.2391898371775616</v>
      </c>
      <c r="I288" s="60">
        <f>LE_IND!AD240</f>
        <v>5.338272426705938</v>
      </c>
      <c r="J288" s="50">
        <f>LE_ZAF!AD240</f>
        <v>4.9322360181874112</v>
      </c>
      <c r="L288" s="20" t="s">
        <v>1089</v>
      </c>
      <c r="M288" s="47">
        <f t="shared" si="3"/>
        <v>0.19555123231566718</v>
      </c>
      <c r="N288" s="60">
        <f t="shared" si="3"/>
        <v>0.21785391494126749</v>
      </c>
      <c r="O288" s="50">
        <f t="shared" si="3"/>
        <v>0.21858583233869489</v>
      </c>
    </row>
    <row r="289" spans="2:15" x14ac:dyDescent="0.3">
      <c r="B289" s="20" t="s">
        <v>290</v>
      </c>
      <c r="C289" s="47">
        <f>LE_BRA!C241</f>
        <v>5.7426044958835725</v>
      </c>
      <c r="D289" s="60">
        <f>LE_IND!C241</f>
        <v>4.7878122667936154</v>
      </c>
      <c r="E289" s="50">
        <f>LE_ZAF!C241</f>
        <v>4.3846936106381493</v>
      </c>
      <c r="G289" s="20" t="s">
        <v>690</v>
      </c>
      <c r="H289" s="47">
        <f>LE_BRA!AD241</f>
        <v>5.5330823661478377</v>
      </c>
      <c r="I289" s="60">
        <f>LE_IND!AD241</f>
        <v>4.5608933708769452</v>
      </c>
      <c r="J289" s="50">
        <f>LE_ZAF!AD241</f>
        <v>4.1653913371648708</v>
      </c>
      <c r="L289" s="20" t="s">
        <v>1090</v>
      </c>
      <c r="M289" s="47">
        <f t="shared" si="3"/>
        <v>0.20952212973573481</v>
      </c>
      <c r="N289" s="60">
        <f t="shared" si="3"/>
        <v>0.22691889591667014</v>
      </c>
      <c r="O289" s="50">
        <f t="shared" si="3"/>
        <v>0.21930227347327858</v>
      </c>
    </row>
    <row r="290" spans="2:15" x14ac:dyDescent="0.3">
      <c r="B290" s="20" t="s">
        <v>291</v>
      </c>
      <c r="C290" s="47">
        <f>LE_BRA!C242</f>
        <v>4.9885675895551307</v>
      </c>
      <c r="D290" s="60">
        <f>LE_IND!C242</f>
        <v>4.0072315122249309</v>
      </c>
      <c r="E290" s="50">
        <f>LE_ZAF!C242</f>
        <v>3.5868877848519811</v>
      </c>
      <c r="G290" s="20" t="s">
        <v>691</v>
      </c>
      <c r="H290" s="47">
        <f>LE_BRA!AD242</f>
        <v>4.7707651403225118</v>
      </c>
      <c r="I290" s="60">
        <f>LE_IND!AD242</f>
        <v>3.779951381058873</v>
      </c>
      <c r="J290" s="50">
        <f>LE_ZAF!AD242</f>
        <v>3.3752508546626894</v>
      </c>
      <c r="L290" s="20" t="s">
        <v>1091</v>
      </c>
      <c r="M290" s="47">
        <f t="shared" si="3"/>
        <v>0.21780244923261893</v>
      </c>
      <c r="N290" s="60">
        <f t="shared" si="3"/>
        <v>0.22728013116605794</v>
      </c>
      <c r="O290" s="50">
        <f t="shared" si="3"/>
        <v>0.21163693018929175</v>
      </c>
    </row>
    <row r="291" spans="2:15" x14ac:dyDescent="0.3">
      <c r="B291" s="20" t="s">
        <v>292</v>
      </c>
      <c r="C291" s="47">
        <f>LE_BRA!C243</f>
        <v>3.8583580931418875</v>
      </c>
      <c r="D291" s="60">
        <f>LE_IND!C243</f>
        <v>2.9351768325004488</v>
      </c>
      <c r="E291" s="50">
        <f>LE_ZAF!C243</f>
        <v>2.4527443462935627</v>
      </c>
      <c r="G291" s="20" t="s">
        <v>692</v>
      </c>
      <c r="H291" s="47">
        <f>LE_BRA!AD243</f>
        <v>3.641800853988213</v>
      </c>
      <c r="I291" s="60">
        <f>LE_IND!AD243</f>
        <v>2.7220661218317188</v>
      </c>
      <c r="J291" s="50">
        <f>LE_ZAF!AD243</f>
        <v>2.2656552737593407</v>
      </c>
      <c r="L291" s="20" t="s">
        <v>1092</v>
      </c>
      <c r="M291" s="47">
        <f t="shared" si="3"/>
        <v>0.21655723915367453</v>
      </c>
      <c r="N291" s="60">
        <f t="shared" si="3"/>
        <v>0.21311071066873</v>
      </c>
      <c r="O291" s="50">
        <f t="shared" si="3"/>
        <v>0.18708907253422202</v>
      </c>
    </row>
    <row r="292" spans="2:15" x14ac:dyDescent="0.3">
      <c r="B292" s="20" t="s">
        <v>293</v>
      </c>
      <c r="C292" s="47">
        <f>LE_BRA!C244</f>
        <v>9.5164819016107458</v>
      </c>
      <c r="D292" s="60">
        <f>LE_IND!C244</f>
        <v>9.42216714350287</v>
      </c>
      <c r="E292" s="50">
        <f>LE_ZAF!C244</f>
        <v>9.2720710026017148</v>
      </c>
      <c r="G292" s="20" t="s">
        <v>693</v>
      </c>
      <c r="H292" s="47">
        <f>LE_BRA!AD244</f>
        <v>9.4882735678875534</v>
      </c>
      <c r="I292" s="60">
        <f>LE_IND!AD244</f>
        <v>9.3871951714911361</v>
      </c>
      <c r="J292" s="50">
        <f>LE_ZAF!AD244</f>
        <v>9.2227870564703931</v>
      </c>
      <c r="L292" s="20" t="s">
        <v>1093</v>
      </c>
      <c r="M292" s="47">
        <f t="shared" si="3"/>
        <v>2.8208333723192425E-2</v>
      </c>
      <c r="N292" s="60">
        <f t="shared" si="3"/>
        <v>3.4971972011733854E-2</v>
      </c>
      <c r="O292" s="50">
        <f t="shared" si="3"/>
        <v>4.9283946131321699E-2</v>
      </c>
    </row>
    <row r="293" spans="2:15" x14ac:dyDescent="0.3">
      <c r="B293" s="20" t="s">
        <v>294</v>
      </c>
      <c r="C293" s="47">
        <f>LE_BRA!C245</f>
        <v>9.4345354456555768</v>
      </c>
      <c r="D293" s="60">
        <f>LE_IND!C245</f>
        <v>9.341061448349377</v>
      </c>
      <c r="E293" s="50">
        <f>LE_ZAF!C245</f>
        <v>9.1615959488019261</v>
      </c>
      <c r="G293" s="20" t="s">
        <v>694</v>
      </c>
      <c r="H293" s="47">
        <f>LE_BRA!AD245</f>
        <v>9.4003333327179952</v>
      </c>
      <c r="I293" s="60">
        <f>LE_IND!AD245</f>
        <v>9.3018675833044195</v>
      </c>
      <c r="J293" s="50">
        <f>LE_ZAF!AD245</f>
        <v>9.1056773809558553</v>
      </c>
      <c r="L293" s="20" t="s">
        <v>1094</v>
      </c>
      <c r="M293" s="47">
        <f t="shared" ref="M293:O353" si="4">C293-H293</f>
        <v>3.4202112937581575E-2</v>
      </c>
      <c r="N293" s="60">
        <f t="shared" si="4"/>
        <v>3.9193865044957477E-2</v>
      </c>
      <c r="O293" s="50">
        <f t="shared" si="4"/>
        <v>5.5918567846070744E-2</v>
      </c>
    </row>
    <row r="294" spans="2:15" x14ac:dyDescent="0.3">
      <c r="B294" s="20" t="s">
        <v>295</v>
      </c>
      <c r="C294" s="47">
        <f>LE_BRA!C246</f>
        <v>9.324913521573496</v>
      </c>
      <c r="D294" s="60">
        <f>LE_IND!C246</f>
        <v>9.2172588200151839</v>
      </c>
      <c r="E294" s="50">
        <f>LE_ZAF!C246</f>
        <v>8.9943034680260201</v>
      </c>
      <c r="G294" s="20" t="s">
        <v>695</v>
      </c>
      <c r="H294" s="47">
        <f>LE_BRA!AD246</f>
        <v>9.2823665382133509</v>
      </c>
      <c r="I294" s="60">
        <f>LE_IND!AD246</f>
        <v>9.1699056673060824</v>
      </c>
      <c r="J294" s="50">
        <f>LE_ZAF!AD246</f>
        <v>8.9263638065173012</v>
      </c>
      <c r="L294" s="20" t="s">
        <v>1095</v>
      </c>
      <c r="M294" s="47">
        <f t="shared" si="4"/>
        <v>4.2546983360145063E-2</v>
      </c>
      <c r="N294" s="60">
        <f t="shared" si="4"/>
        <v>4.7353152709101565E-2</v>
      </c>
      <c r="O294" s="50">
        <f t="shared" si="4"/>
        <v>6.7939661508718885E-2</v>
      </c>
    </row>
    <row r="295" spans="2:15" x14ac:dyDescent="0.3">
      <c r="B295" s="20" t="s">
        <v>296</v>
      </c>
      <c r="C295" s="47">
        <f>LE_BRA!C247</f>
        <v>9.1957026419142167</v>
      </c>
      <c r="D295" s="60">
        <f>LE_IND!C247</f>
        <v>9.0621335178277693</v>
      </c>
      <c r="E295" s="50">
        <f>LE_ZAF!C247</f>
        <v>8.7835352091227499</v>
      </c>
      <c r="G295" s="20" t="s">
        <v>696</v>
      </c>
      <c r="H295" s="47">
        <f>LE_BRA!AD247</f>
        <v>9.1439286773575041</v>
      </c>
      <c r="I295" s="60">
        <f>LE_IND!AD247</f>
        <v>9.00472508743327</v>
      </c>
      <c r="J295" s="50">
        <f>LE_ZAF!AD247</f>
        <v>8.7005566205847238</v>
      </c>
      <c r="L295" s="20" t="s">
        <v>1096</v>
      </c>
      <c r="M295" s="47">
        <f t="shared" si="4"/>
        <v>5.1773964556712571E-2</v>
      </c>
      <c r="N295" s="60">
        <f t="shared" si="4"/>
        <v>5.7408430394499277E-2</v>
      </c>
      <c r="O295" s="50">
        <f t="shared" si="4"/>
        <v>8.2978588538026088E-2</v>
      </c>
    </row>
    <row r="296" spans="2:15" x14ac:dyDescent="0.3">
      <c r="B296" s="20" t="s">
        <v>297</v>
      </c>
      <c r="C296" s="47">
        <f>LE_BRA!C248</f>
        <v>9.0532758487809115</v>
      </c>
      <c r="D296" s="60">
        <f>LE_IND!C248</f>
        <v>8.8770945603335285</v>
      </c>
      <c r="E296" s="50">
        <f>LE_ZAF!C248</f>
        <v>8.534251077147248</v>
      </c>
      <c r="G296" s="20" t="s">
        <v>697</v>
      </c>
      <c r="H296" s="47">
        <f>LE_BRA!AD248</f>
        <v>8.9926956145627699</v>
      </c>
      <c r="I296" s="60">
        <f>LE_IND!AD248</f>
        <v>8.8085287938009476</v>
      </c>
      <c r="J296" s="50">
        <f>LE_ZAF!AD248</f>
        <v>8.4345333757634755</v>
      </c>
      <c r="L296" s="20" t="s">
        <v>1097</v>
      </c>
      <c r="M296" s="47">
        <f t="shared" si="4"/>
        <v>6.0580234218141626E-2</v>
      </c>
      <c r="N296" s="60">
        <f t="shared" si="4"/>
        <v>6.8565766532580952E-2</v>
      </c>
      <c r="O296" s="50">
        <f t="shared" si="4"/>
        <v>9.971770138377245E-2</v>
      </c>
    </row>
    <row r="297" spans="2:15" x14ac:dyDescent="0.3">
      <c r="B297" s="20" t="s">
        <v>298</v>
      </c>
      <c r="C297" s="47">
        <f>LE_BRA!C249</f>
        <v>8.8832683490267836</v>
      </c>
      <c r="D297" s="60">
        <f>LE_IND!C249</f>
        <v>8.6524482079136487</v>
      </c>
      <c r="E297" s="50">
        <f>LE_ZAF!C249</f>
        <v>8.2469147432129208</v>
      </c>
      <c r="G297" s="20" t="s">
        <v>698</v>
      </c>
      <c r="H297" s="47">
        <f>LE_BRA!AD249</f>
        <v>8.8129518368242206</v>
      </c>
      <c r="I297" s="60">
        <f>LE_IND!AD249</f>
        <v>8.5710846433176435</v>
      </c>
      <c r="J297" s="50">
        <f>LE_ZAF!AD249</f>
        <v>8.129564138372805</v>
      </c>
      <c r="L297" s="20" t="s">
        <v>1098</v>
      </c>
      <c r="M297" s="47">
        <f t="shared" si="4"/>
        <v>7.0316512202563075E-2</v>
      </c>
      <c r="N297" s="60">
        <f t="shared" si="4"/>
        <v>8.1363564596005133E-2</v>
      </c>
      <c r="O297" s="50">
        <f t="shared" si="4"/>
        <v>0.11735060484011584</v>
      </c>
    </row>
    <row r="298" spans="2:15" x14ac:dyDescent="0.3">
      <c r="B298" s="20" t="s">
        <v>299</v>
      </c>
      <c r="C298" s="47">
        <f>LE_BRA!C250</f>
        <v>8.6686388939396561</v>
      </c>
      <c r="D298" s="60">
        <f>LE_IND!C250</f>
        <v>8.3748325519170717</v>
      </c>
      <c r="E298" s="50">
        <f>LE_ZAF!C250</f>
        <v>7.9208060459498553</v>
      </c>
      <c r="G298" s="20" t="s">
        <v>699</v>
      </c>
      <c r="H298" s="47">
        <f>LE_BRA!AD250</f>
        <v>8.5861146936352135</v>
      </c>
      <c r="I298" s="60">
        <f>LE_IND!AD250</f>
        <v>8.2781979570829929</v>
      </c>
      <c r="J298" s="50">
        <f>LE_ZAF!AD250</f>
        <v>7.7856815724882855</v>
      </c>
      <c r="L298" s="20" t="s">
        <v>1099</v>
      </c>
      <c r="M298" s="47">
        <f t="shared" si="4"/>
        <v>8.252420030444263E-2</v>
      </c>
      <c r="N298" s="60">
        <f t="shared" si="4"/>
        <v>9.6634594834078769E-2</v>
      </c>
      <c r="O298" s="50">
        <f t="shared" si="4"/>
        <v>0.13512447346156975</v>
      </c>
    </row>
    <row r="299" spans="2:15" x14ac:dyDescent="0.3">
      <c r="B299" s="20" t="s">
        <v>300</v>
      </c>
      <c r="C299" s="47">
        <f>LE_BRA!C251</f>
        <v>8.4054476709955033</v>
      </c>
      <c r="D299" s="60">
        <f>LE_IND!C251</f>
        <v>8.0382314829703869</v>
      </c>
      <c r="E299" s="50">
        <f>LE_ZAF!C251</f>
        <v>7.5588615203957774</v>
      </c>
      <c r="G299" s="20" t="s">
        <v>700</v>
      </c>
      <c r="H299" s="47">
        <f>LE_BRA!AD251</f>
        <v>8.3086045027798612</v>
      </c>
      <c r="I299" s="60">
        <f>LE_IND!AD251</f>
        <v>7.9241750573591787</v>
      </c>
      <c r="J299" s="50">
        <f>LE_ZAF!AD251</f>
        <v>7.4071162376486761</v>
      </c>
      <c r="L299" s="20" t="s">
        <v>1100</v>
      </c>
      <c r="M299" s="47">
        <f t="shared" si="4"/>
        <v>9.6843168215642095E-2</v>
      </c>
      <c r="N299" s="60">
        <f t="shared" si="4"/>
        <v>0.11405642561120821</v>
      </c>
      <c r="O299" s="50">
        <f t="shared" si="4"/>
        <v>0.15174528274710131</v>
      </c>
    </row>
    <row r="300" spans="2:15" x14ac:dyDescent="0.3">
      <c r="B300" s="20" t="s">
        <v>301</v>
      </c>
      <c r="C300" s="47">
        <f>LE_BRA!C252</f>
        <v>8.0861675094041683</v>
      </c>
      <c r="D300" s="60">
        <f>LE_IND!C252</f>
        <v>7.6344106520327752</v>
      </c>
      <c r="E300" s="50">
        <f>LE_ZAF!C252</f>
        <v>7.1589502644900849</v>
      </c>
      <c r="G300" s="20" t="s">
        <v>701</v>
      </c>
      <c r="H300" s="47">
        <f>LE_BRA!AD252</f>
        <v>7.9729705404946749</v>
      </c>
      <c r="I300" s="60">
        <f>LE_IND!AD252</f>
        <v>7.5010213554559302</v>
      </c>
      <c r="J300" s="50">
        <f>LE_ZAF!AD252</f>
        <v>6.9925984064990869</v>
      </c>
      <c r="L300" s="20" t="s">
        <v>1101</v>
      </c>
      <c r="M300" s="47">
        <f t="shared" si="4"/>
        <v>0.11319696890949338</v>
      </c>
      <c r="N300" s="60">
        <f t="shared" si="4"/>
        <v>0.13338929657684506</v>
      </c>
      <c r="O300" s="50">
        <f t="shared" si="4"/>
        <v>0.16635185799099794</v>
      </c>
    </row>
    <row r="301" spans="2:15" x14ac:dyDescent="0.3">
      <c r="B301" s="20" t="s">
        <v>302</v>
      </c>
      <c r="C301" s="47">
        <f>LE_BRA!C253</f>
        <v>7.704622130261308</v>
      </c>
      <c r="D301" s="60">
        <f>LE_IND!C253</f>
        <v>7.1545179969054438</v>
      </c>
      <c r="E301" s="50">
        <f>LE_ZAF!C253</f>
        <v>6.7018307280347749</v>
      </c>
      <c r="G301" s="20" t="s">
        <v>702</v>
      </c>
      <c r="H301" s="47">
        <f>LE_BRA!AD253</f>
        <v>7.5734693449947548</v>
      </c>
      <c r="I301" s="60">
        <f>LE_IND!AD253</f>
        <v>7.0002231250881808</v>
      </c>
      <c r="J301" s="50">
        <f>LE_ZAF!AD253</f>
        <v>6.5219213776707656</v>
      </c>
      <c r="L301" s="20" t="s">
        <v>1102</v>
      </c>
      <c r="M301" s="47">
        <f t="shared" si="4"/>
        <v>0.13115278526655327</v>
      </c>
      <c r="N301" s="60">
        <f t="shared" si="4"/>
        <v>0.15429487181726298</v>
      </c>
      <c r="O301" s="50">
        <f t="shared" si="4"/>
        <v>0.17990935036400924</v>
      </c>
    </row>
    <row r="302" spans="2:15" x14ac:dyDescent="0.3">
      <c r="B302" s="20" t="s">
        <v>303</v>
      </c>
      <c r="C302" s="47">
        <f>LE_BRA!C254</f>
        <v>7.2581056081737501</v>
      </c>
      <c r="D302" s="60">
        <f>LE_IND!C254</f>
        <v>6.6024448651224068</v>
      </c>
      <c r="E302" s="50">
        <f>LE_ZAF!C254</f>
        <v>6.1806235192777015</v>
      </c>
      <c r="G302" s="20" t="s">
        <v>703</v>
      </c>
      <c r="H302" s="47">
        <f>LE_BRA!AD254</f>
        <v>7.108437447289246</v>
      </c>
      <c r="I302" s="60">
        <f>LE_IND!AD254</f>
        <v>6.4275905629354284</v>
      </c>
      <c r="J302" s="50">
        <f>LE_ZAF!AD254</f>
        <v>5.9888726011757081</v>
      </c>
      <c r="L302" s="20" t="s">
        <v>1103</v>
      </c>
      <c r="M302" s="47">
        <f t="shared" si="4"/>
        <v>0.14966816088450408</v>
      </c>
      <c r="N302" s="60">
        <f t="shared" si="4"/>
        <v>0.17485430218697839</v>
      </c>
      <c r="O302" s="50">
        <f t="shared" si="4"/>
        <v>0.19175091810199341</v>
      </c>
    </row>
    <row r="303" spans="2:15" x14ac:dyDescent="0.3">
      <c r="B303" s="20" t="s">
        <v>304</v>
      </c>
      <c r="C303" s="47">
        <f>LE_BRA!C255</f>
        <v>6.7389344638851441</v>
      </c>
      <c r="D303" s="60">
        <f>LE_IND!C255</f>
        <v>5.9861010133027905</v>
      </c>
      <c r="E303" s="50">
        <f>LE_ZAF!C255</f>
        <v>5.5855328204084076</v>
      </c>
      <c r="G303" s="20" t="s">
        <v>704</v>
      </c>
      <c r="H303" s="47">
        <f>LE_BRA!AD255</f>
        <v>6.5707761150293242</v>
      </c>
      <c r="I303" s="60">
        <f>LE_IND!AD255</f>
        <v>5.7933103059795057</v>
      </c>
      <c r="J303" s="50">
        <f>LE_ZAF!AD255</f>
        <v>5.3841107467409746</v>
      </c>
      <c r="L303" s="20" t="s">
        <v>1104</v>
      </c>
      <c r="M303" s="47">
        <f t="shared" si="4"/>
        <v>0.16815834885581982</v>
      </c>
      <c r="N303" s="60">
        <f t="shared" si="4"/>
        <v>0.19279070732328485</v>
      </c>
      <c r="O303" s="50">
        <f t="shared" si="4"/>
        <v>0.20142207366743303</v>
      </c>
    </row>
    <row r="304" spans="2:15" x14ac:dyDescent="0.3">
      <c r="B304" s="20" t="s">
        <v>305</v>
      </c>
      <c r="C304" s="47">
        <f>LE_BRA!C256</f>
        <v>6.1453653295147532</v>
      </c>
      <c r="D304" s="60">
        <f>LE_IND!C256</f>
        <v>5.3054049858425225</v>
      </c>
      <c r="E304" s="50">
        <f>LE_ZAF!C256</f>
        <v>4.9132102267379709</v>
      </c>
      <c r="G304" s="20" t="s">
        <v>705</v>
      </c>
      <c r="H304" s="47">
        <f>LE_BRA!AD256</f>
        <v>5.9600682997182277</v>
      </c>
      <c r="I304" s="60">
        <f>LE_IND!AD256</f>
        <v>5.0983839691276422</v>
      </c>
      <c r="J304" s="50">
        <f>LE_ZAF!AD256</f>
        <v>4.7052309035586921</v>
      </c>
      <c r="L304" s="20" t="s">
        <v>1105</v>
      </c>
      <c r="M304" s="47">
        <f t="shared" si="4"/>
        <v>0.18529702979652551</v>
      </c>
      <c r="N304" s="60">
        <f t="shared" si="4"/>
        <v>0.20702101671488027</v>
      </c>
      <c r="O304" s="50">
        <f t="shared" si="4"/>
        <v>0.20797932317927881</v>
      </c>
    </row>
    <row r="305" spans="2:15" x14ac:dyDescent="0.3">
      <c r="B305" s="20" t="s">
        <v>306</v>
      </c>
      <c r="C305" s="47">
        <f>LE_BRA!C257</f>
        <v>5.4860233041564772</v>
      </c>
      <c r="D305" s="60">
        <f>LE_IND!C257</f>
        <v>4.5733238841233295</v>
      </c>
      <c r="E305" s="50">
        <f>LE_ZAF!C257</f>
        <v>4.1828251831345256</v>
      </c>
      <c r="G305" s="20" t="s">
        <v>706</v>
      </c>
      <c r="H305" s="47">
        <f>LE_BRA!AD257</f>
        <v>5.2872810086823581</v>
      </c>
      <c r="I305" s="60">
        <f>LE_IND!AD257</f>
        <v>4.3575250945418986</v>
      </c>
      <c r="J305" s="50">
        <f>LE_ZAF!AD257</f>
        <v>3.9740311793910692</v>
      </c>
      <c r="L305" s="20" t="s">
        <v>1106</v>
      </c>
      <c r="M305" s="47">
        <f t="shared" si="4"/>
        <v>0.19874229547411915</v>
      </c>
      <c r="N305" s="60">
        <f t="shared" si="4"/>
        <v>0.21579878958143084</v>
      </c>
      <c r="O305" s="50">
        <f t="shared" si="4"/>
        <v>0.20879400374345636</v>
      </c>
    </row>
    <row r="306" spans="2:15" x14ac:dyDescent="0.3">
      <c r="B306" s="20" t="s">
        <v>307</v>
      </c>
      <c r="C306" s="47">
        <f>LE_BRA!C258</f>
        <v>4.7668023496667891</v>
      </c>
      <c r="D306" s="60">
        <f>LE_IND!C258</f>
        <v>3.8286384602322894</v>
      </c>
      <c r="E306" s="50">
        <f>LE_ZAF!C258</f>
        <v>3.4222261951912945</v>
      </c>
      <c r="G306" s="20" t="s">
        <v>707</v>
      </c>
      <c r="H306" s="47">
        <f>LE_BRA!AD258</f>
        <v>4.5599865517732976</v>
      </c>
      <c r="I306" s="60">
        <f>LE_IND!AD258</f>
        <v>3.6123330215795928</v>
      </c>
      <c r="J306" s="50">
        <f>LE_ZAF!AD258</f>
        <v>3.2206099870255871</v>
      </c>
      <c r="L306" s="20" t="s">
        <v>1107</v>
      </c>
      <c r="M306" s="47">
        <f t="shared" si="4"/>
        <v>0.20681579789349147</v>
      </c>
      <c r="N306" s="60">
        <f t="shared" si="4"/>
        <v>0.21630543865269658</v>
      </c>
      <c r="O306" s="50">
        <f t="shared" si="4"/>
        <v>0.20161620816570736</v>
      </c>
    </row>
    <row r="307" spans="2:15" x14ac:dyDescent="0.3">
      <c r="B307" s="20" t="s">
        <v>308</v>
      </c>
      <c r="C307" s="47">
        <f>LE_BRA!C259</f>
        <v>3.687242003051181</v>
      </c>
      <c r="D307" s="60">
        <f>LE_IND!C259</f>
        <v>2.8044932636317816</v>
      </c>
      <c r="E307" s="50">
        <f>LE_ZAF!C259</f>
        <v>2.3411724164703682</v>
      </c>
      <c r="G307" s="20" t="s">
        <v>708</v>
      </c>
      <c r="H307" s="47">
        <f>LE_BRA!AD259</f>
        <v>3.4813349338805613</v>
      </c>
      <c r="I307" s="60">
        <f>LE_IND!AD259</f>
        <v>2.601478701533162</v>
      </c>
      <c r="J307" s="50">
        <f>LE_ZAF!AD259</f>
        <v>2.162794214208124</v>
      </c>
      <c r="L307" s="20" t="s">
        <v>1108</v>
      </c>
      <c r="M307" s="47">
        <f t="shared" si="4"/>
        <v>0.20590706917061974</v>
      </c>
      <c r="N307" s="60">
        <f t="shared" si="4"/>
        <v>0.20301456209861968</v>
      </c>
      <c r="O307" s="50">
        <f t="shared" si="4"/>
        <v>0.17837820226224421</v>
      </c>
    </row>
    <row r="308" spans="2:15" x14ac:dyDescent="0.3">
      <c r="B308" s="20" t="s">
        <v>309</v>
      </c>
      <c r="C308" s="47">
        <f>LE_BRA!C260</f>
        <v>9.0668814899795009</v>
      </c>
      <c r="D308" s="60">
        <f>LE_IND!C260</f>
        <v>8.9768897221538513</v>
      </c>
      <c r="E308" s="50">
        <f>LE_ZAF!C260</f>
        <v>8.8358764130666358</v>
      </c>
      <c r="G308" s="20" t="s">
        <v>709</v>
      </c>
      <c r="H308" s="47">
        <f>LE_BRA!AD260</f>
        <v>9.0403885926594008</v>
      </c>
      <c r="I308" s="60">
        <f>LE_IND!AD260</f>
        <v>8.9439276503771001</v>
      </c>
      <c r="J308" s="50">
        <f>LE_ZAF!AD260</f>
        <v>8.7895033514104721</v>
      </c>
      <c r="L308" s="20" t="s">
        <v>1109</v>
      </c>
      <c r="M308" s="47">
        <f t="shared" si="4"/>
        <v>2.6492897320100184E-2</v>
      </c>
      <c r="N308" s="60">
        <f t="shared" si="4"/>
        <v>3.2962071776751145E-2</v>
      </c>
      <c r="O308" s="50">
        <f t="shared" si="4"/>
        <v>4.6373061656163728E-2</v>
      </c>
    </row>
    <row r="309" spans="2:15" x14ac:dyDescent="0.3">
      <c r="B309" s="20" t="s">
        <v>310</v>
      </c>
      <c r="C309" s="47">
        <f>LE_BRA!C261</f>
        <v>8.989529343633075</v>
      </c>
      <c r="D309" s="60">
        <f>LE_IND!C261</f>
        <v>8.8996322999250932</v>
      </c>
      <c r="E309" s="50">
        <f>LE_ZAF!C261</f>
        <v>8.7311056958124542</v>
      </c>
      <c r="G309" s="20" t="s">
        <v>710</v>
      </c>
      <c r="H309" s="47">
        <f>LE_BRA!AD261</f>
        <v>8.957391578833052</v>
      </c>
      <c r="I309" s="60">
        <f>LE_IND!AD261</f>
        <v>8.8626168476687841</v>
      </c>
      <c r="J309" s="50">
        <f>LE_ZAF!AD261</f>
        <v>8.6784356748596618</v>
      </c>
      <c r="L309" s="20" t="s">
        <v>1110</v>
      </c>
      <c r="M309" s="47">
        <f t="shared" si="4"/>
        <v>3.213776480002295E-2</v>
      </c>
      <c r="N309" s="60">
        <f t="shared" si="4"/>
        <v>3.7015452256309089E-2</v>
      </c>
      <c r="O309" s="50">
        <f t="shared" si="4"/>
        <v>5.2670020952792385E-2</v>
      </c>
    </row>
    <row r="310" spans="2:15" x14ac:dyDescent="0.3">
      <c r="B310" s="20" t="s">
        <v>311</v>
      </c>
      <c r="C310" s="47">
        <f>LE_BRA!C262</f>
        <v>8.886131991657729</v>
      </c>
      <c r="D310" s="60">
        <f>LE_IND!C262</f>
        <v>8.7822696155420523</v>
      </c>
      <c r="E310" s="50">
        <f>LE_ZAF!C262</f>
        <v>8.5729046521691483</v>
      </c>
      <c r="G310" s="20" t="s">
        <v>711</v>
      </c>
      <c r="H310" s="47">
        <f>LE_BRA!AD262</f>
        <v>8.8461443397296993</v>
      </c>
      <c r="I310" s="60">
        <f>LE_IND!AD262</f>
        <v>8.7375178387750871</v>
      </c>
      <c r="J310" s="50">
        <f>LE_ZAF!AD262</f>
        <v>8.5088876090721222</v>
      </c>
      <c r="L310" s="20" t="s">
        <v>1111</v>
      </c>
      <c r="M310" s="47">
        <f t="shared" si="4"/>
        <v>3.9987651928029777E-2</v>
      </c>
      <c r="N310" s="60">
        <f t="shared" si="4"/>
        <v>4.4751776766965179E-2</v>
      </c>
      <c r="O310" s="50">
        <f t="shared" si="4"/>
        <v>6.4017043097026161E-2</v>
      </c>
    </row>
    <row r="311" spans="2:15" x14ac:dyDescent="0.3">
      <c r="B311" s="20" t="s">
        <v>312</v>
      </c>
      <c r="C311" s="47">
        <f>LE_BRA!C263</f>
        <v>8.7640966789635275</v>
      </c>
      <c r="D311" s="60">
        <f>LE_IND!C263</f>
        <v>8.6352399928817931</v>
      </c>
      <c r="E311" s="50">
        <f>LE_ZAF!C263</f>
        <v>8.3735942413778854</v>
      </c>
      <c r="G311" s="20" t="s">
        <v>712</v>
      </c>
      <c r="H311" s="47">
        <f>LE_BRA!AD263</f>
        <v>8.7154123849062621</v>
      </c>
      <c r="I311" s="60">
        <f>LE_IND!AD263</f>
        <v>8.5809583286083786</v>
      </c>
      <c r="J311" s="50">
        <f>LE_ZAF!AD263</f>
        <v>8.2953840244547035</v>
      </c>
      <c r="L311" s="20" t="s">
        <v>1112</v>
      </c>
      <c r="M311" s="47">
        <f t="shared" si="4"/>
        <v>4.8684294057265376E-2</v>
      </c>
      <c r="N311" s="60">
        <f t="shared" si="4"/>
        <v>5.428166427341452E-2</v>
      </c>
      <c r="O311" s="50">
        <f t="shared" si="4"/>
        <v>7.8210216923181974E-2</v>
      </c>
    </row>
    <row r="312" spans="2:15" x14ac:dyDescent="0.3">
      <c r="B312" s="20" t="s">
        <v>313</v>
      </c>
      <c r="C312" s="47">
        <f>LE_BRA!C264</f>
        <v>8.62924955006193</v>
      </c>
      <c r="D312" s="60">
        <f>LE_IND!C264</f>
        <v>8.4597848824455966</v>
      </c>
      <c r="E312" s="50">
        <f>LE_ZAF!C264</f>
        <v>8.1376613008406515</v>
      </c>
      <c r="G312" s="20" t="s">
        <v>713</v>
      </c>
      <c r="H312" s="47">
        <f>LE_BRA!AD264</f>
        <v>8.5722293861192504</v>
      </c>
      <c r="I312" s="60">
        <f>LE_IND!AD264</f>
        <v>8.3949206205243279</v>
      </c>
      <c r="J312" s="50">
        <f>LE_ZAF!AD264</f>
        <v>8.0436361755287393</v>
      </c>
      <c r="L312" s="20" t="s">
        <v>1113</v>
      </c>
      <c r="M312" s="47">
        <f t="shared" si="4"/>
        <v>5.7020163942679503E-2</v>
      </c>
      <c r="N312" s="60">
        <f t="shared" si="4"/>
        <v>6.4864261921268707E-2</v>
      </c>
      <c r="O312" s="50">
        <f t="shared" si="4"/>
        <v>9.4025125311912205E-2</v>
      </c>
    </row>
    <row r="313" spans="2:15" x14ac:dyDescent="0.3">
      <c r="B313" s="20" t="s">
        <v>314</v>
      </c>
      <c r="C313" s="47">
        <f>LE_BRA!C265</f>
        <v>8.4681573645317236</v>
      </c>
      <c r="D313" s="60">
        <f>LE_IND!C265</f>
        <v>8.2467162246938148</v>
      </c>
      <c r="E313" s="50">
        <f>LE_ZAF!C265</f>
        <v>7.865247621468515</v>
      </c>
      <c r="G313" s="20" t="s">
        <v>714</v>
      </c>
      <c r="H313" s="47">
        <f>LE_BRA!AD265</f>
        <v>8.4019060726760717</v>
      </c>
      <c r="I313" s="60">
        <f>LE_IND!AD265</f>
        <v>8.1697071230761189</v>
      </c>
      <c r="J313" s="50">
        <f>LE_ZAF!AD265</f>
        <v>7.7545180344195161</v>
      </c>
      <c r="L313" s="20" t="s">
        <v>1114</v>
      </c>
      <c r="M313" s="47">
        <f t="shared" si="4"/>
        <v>6.6251291855651928E-2</v>
      </c>
      <c r="N313" s="60">
        <f t="shared" si="4"/>
        <v>7.7009101617695919E-2</v>
      </c>
      <c r="O313" s="50">
        <f t="shared" si="4"/>
        <v>0.11072958704899882</v>
      </c>
    </row>
    <row r="314" spans="2:15" x14ac:dyDescent="0.3">
      <c r="B314" s="20" t="s">
        <v>315</v>
      </c>
      <c r="C314" s="47">
        <f>LE_BRA!C266</f>
        <v>8.264835828002365</v>
      </c>
      <c r="D314" s="60">
        <f>LE_IND!C266</f>
        <v>7.9833664149773425</v>
      </c>
      <c r="E314" s="50">
        <f>LE_ZAF!C266</f>
        <v>7.5553964512734364</v>
      </c>
      <c r="G314" s="20" t="s">
        <v>715</v>
      </c>
      <c r="H314" s="47">
        <f>LE_BRA!AD266</f>
        <v>8.1870192497010787</v>
      </c>
      <c r="I314" s="60">
        <f>LE_IND!AD266</f>
        <v>7.8918616750862807</v>
      </c>
      <c r="J314" s="50">
        <f>LE_ZAF!AD266</f>
        <v>7.4277606535057759</v>
      </c>
      <c r="L314" s="20" t="s">
        <v>1115</v>
      </c>
      <c r="M314" s="47">
        <f t="shared" si="4"/>
        <v>7.7816578301286299E-2</v>
      </c>
      <c r="N314" s="60">
        <f t="shared" si="4"/>
        <v>9.1504739891061782E-2</v>
      </c>
      <c r="O314" s="50">
        <f t="shared" si="4"/>
        <v>0.12763579776766054</v>
      </c>
    </row>
    <row r="315" spans="2:15" x14ac:dyDescent="0.3">
      <c r="B315" s="20" t="s">
        <v>316</v>
      </c>
      <c r="C315" s="47">
        <f>LE_BRA!C267</f>
        <v>8.0154373640134082</v>
      </c>
      <c r="D315" s="60">
        <f>LE_IND!C267</f>
        <v>7.6639411048398305</v>
      </c>
      <c r="E315" s="50">
        <f>LE_ZAF!C267</f>
        <v>7.2107285829362615</v>
      </c>
      <c r="G315" s="20" t="s">
        <v>716</v>
      </c>
      <c r="H315" s="47">
        <f>LE_BRA!AD267</f>
        <v>7.9240495679185923</v>
      </c>
      <c r="I315" s="60">
        <f>LE_IND!AD267</f>
        <v>7.5558862823942503</v>
      </c>
      <c r="J315" s="50">
        <f>LE_ZAF!AD267</f>
        <v>7.0672030229570071</v>
      </c>
      <c r="L315" s="20" t="s">
        <v>1116</v>
      </c>
      <c r="M315" s="47">
        <f t="shared" si="4"/>
        <v>9.1387796094815954E-2</v>
      </c>
      <c r="N315" s="60">
        <f t="shared" si="4"/>
        <v>0.10805482244558018</v>
      </c>
      <c r="O315" s="50">
        <f t="shared" si="4"/>
        <v>0.14352555997925442</v>
      </c>
    </row>
    <row r="316" spans="2:15" x14ac:dyDescent="0.3">
      <c r="B316" s="20" t="s">
        <v>317</v>
      </c>
      <c r="C316" s="47">
        <f>LE_BRA!C268</f>
        <v>7.7127591341687101</v>
      </c>
      <c r="D316" s="60">
        <f>LE_IND!C268</f>
        <v>7.2805704111703013</v>
      </c>
      <c r="E316" s="50">
        <f>LE_ZAF!C268</f>
        <v>6.8292080637722838</v>
      </c>
      <c r="G316" s="20" t="s">
        <v>717</v>
      </c>
      <c r="H316" s="47">
        <f>LE_BRA!AD268</f>
        <v>7.6058605581442649</v>
      </c>
      <c r="I316" s="60">
        <f>LE_IND!AD268</f>
        <v>7.1541340282562249</v>
      </c>
      <c r="J316" s="50">
        <f>LE_ZAF!AD268</f>
        <v>6.6716330488775402</v>
      </c>
      <c r="L316" s="20" t="s">
        <v>1117</v>
      </c>
      <c r="M316" s="47">
        <f t="shared" si="4"/>
        <v>0.10689857602444519</v>
      </c>
      <c r="N316" s="60">
        <f t="shared" si="4"/>
        <v>0.12643638291407644</v>
      </c>
      <c r="O316" s="50">
        <f t="shared" si="4"/>
        <v>0.15757501489474368</v>
      </c>
    </row>
    <row r="317" spans="2:15" x14ac:dyDescent="0.3">
      <c r="B317" s="20" t="s">
        <v>318</v>
      </c>
      <c r="C317" s="47">
        <f>LE_BRA!C269</f>
        <v>7.3508506409585097</v>
      </c>
      <c r="D317" s="60">
        <f>LE_IND!C269</f>
        <v>6.8248292619812467</v>
      </c>
      <c r="E317" s="50">
        <f>LE_ZAF!C269</f>
        <v>6.3929150602547979</v>
      </c>
      <c r="G317" s="20" t="s">
        <v>718</v>
      </c>
      <c r="H317" s="47">
        <f>LE_BRA!AD269</f>
        <v>7.2269049994625147</v>
      </c>
      <c r="I317" s="60">
        <f>LE_IND!AD269</f>
        <v>6.6785023816766733</v>
      </c>
      <c r="J317" s="50">
        <f>LE_ZAF!AD269</f>
        <v>6.2222596358132245</v>
      </c>
      <c r="L317" s="20" t="s">
        <v>1118</v>
      </c>
      <c r="M317" s="47">
        <f t="shared" si="4"/>
        <v>0.12394564149599496</v>
      </c>
      <c r="N317" s="60">
        <f t="shared" si="4"/>
        <v>0.14632688030457341</v>
      </c>
      <c r="O317" s="50">
        <f t="shared" si="4"/>
        <v>0.17065542444157344</v>
      </c>
    </row>
    <row r="318" spans="2:15" x14ac:dyDescent="0.3">
      <c r="B318" s="20" t="s">
        <v>319</v>
      </c>
      <c r="C318" s="47">
        <f>LE_BRA!C270</f>
        <v>6.9269676791903221</v>
      </c>
      <c r="D318" s="60">
        <f>LE_IND!C270</f>
        <v>6.3002131909841781</v>
      </c>
      <c r="E318" s="50">
        <f>LE_ZAF!C270</f>
        <v>5.8954505549285994</v>
      </c>
      <c r="G318" s="20" t="s">
        <v>719</v>
      </c>
      <c r="H318" s="47">
        <f>LE_BRA!AD270</f>
        <v>6.7854136061970873</v>
      </c>
      <c r="I318" s="60">
        <f>LE_IND!AD270</f>
        <v>6.1342944678681555</v>
      </c>
      <c r="J318" s="50">
        <f>LE_ZAF!AD270</f>
        <v>5.7133372181828532</v>
      </c>
      <c r="L318" s="20" t="s">
        <v>1119</v>
      </c>
      <c r="M318" s="47">
        <f t="shared" si="4"/>
        <v>0.14155407299323475</v>
      </c>
      <c r="N318" s="60">
        <f t="shared" si="4"/>
        <v>0.16591872311602263</v>
      </c>
      <c r="O318" s="50">
        <f t="shared" si="4"/>
        <v>0.18211333674574615</v>
      </c>
    </row>
    <row r="319" spans="2:15" x14ac:dyDescent="0.3">
      <c r="B319" s="20" t="s">
        <v>320</v>
      </c>
      <c r="C319" s="47">
        <f>LE_BRA!C271</f>
        <v>6.4336738508528706</v>
      </c>
      <c r="D319" s="60">
        <f>LE_IND!C271</f>
        <v>5.7139953242687929</v>
      </c>
      <c r="E319" s="50">
        <f>LE_ZAF!C271</f>
        <v>5.3276787656644879</v>
      </c>
      <c r="G319" s="20" t="s">
        <v>720</v>
      </c>
      <c r="H319" s="47">
        <f>LE_BRA!AD271</f>
        <v>6.2744985930959816</v>
      </c>
      <c r="I319" s="60">
        <f>LE_IND!AD271</f>
        <v>5.5309325824651312</v>
      </c>
      <c r="J319" s="50">
        <f>LE_ZAF!AD271</f>
        <v>5.1361830578446579</v>
      </c>
      <c r="L319" s="20" t="s">
        <v>1120</v>
      </c>
      <c r="M319" s="47">
        <f t="shared" si="4"/>
        <v>0.15917525775688901</v>
      </c>
      <c r="N319" s="60">
        <f t="shared" si="4"/>
        <v>0.18306274180366167</v>
      </c>
      <c r="O319" s="50">
        <f t="shared" si="4"/>
        <v>0.19149570781983005</v>
      </c>
    </row>
    <row r="320" spans="2:15" x14ac:dyDescent="0.3">
      <c r="B320" s="20" t="s">
        <v>321</v>
      </c>
      <c r="C320" s="47">
        <f>LE_BRA!C272</f>
        <v>5.8690554649874045</v>
      </c>
      <c r="D320" s="60">
        <f>LE_IND!C272</f>
        <v>5.0660385455883352</v>
      </c>
      <c r="E320" s="50">
        <f>LE_ZAF!C272</f>
        <v>4.6865741197353064</v>
      </c>
      <c r="G320" s="20" t="s">
        <v>721</v>
      </c>
      <c r="H320" s="47">
        <f>LE_BRA!AD272</f>
        <v>5.693493996848443</v>
      </c>
      <c r="I320" s="60">
        <f>LE_IND!AD272</f>
        <v>4.869320910263454</v>
      </c>
      <c r="J320" s="50">
        <f>LE_ZAF!AD272</f>
        <v>4.4886884087949852</v>
      </c>
      <c r="L320" s="20" t="s">
        <v>1121</v>
      </c>
      <c r="M320" s="47">
        <f t="shared" si="4"/>
        <v>0.17556146813896145</v>
      </c>
      <c r="N320" s="60">
        <f t="shared" si="4"/>
        <v>0.19671763532488118</v>
      </c>
      <c r="O320" s="50">
        <f t="shared" si="4"/>
        <v>0.19788571094032115</v>
      </c>
    </row>
    <row r="321" spans="2:15" x14ac:dyDescent="0.3">
      <c r="B321" s="20" t="s">
        <v>322</v>
      </c>
      <c r="C321" s="47">
        <f>LE_BRA!C273</f>
        <v>5.2409547627980535</v>
      </c>
      <c r="D321" s="60">
        <f>LE_IND!C273</f>
        <v>4.3684816069842238</v>
      </c>
      <c r="E321" s="50">
        <f>LE_ZAF!C273</f>
        <v>3.9902646740128813</v>
      </c>
      <c r="G321" s="20" t="s">
        <v>722</v>
      </c>
      <c r="H321" s="47">
        <f>LE_BRA!AD273</f>
        <v>5.0524547246547717</v>
      </c>
      <c r="I321" s="60">
        <f>LE_IND!AD273</f>
        <v>4.1632659314567046</v>
      </c>
      <c r="J321" s="50">
        <f>LE_ZAF!AD273</f>
        <v>3.7914763350118839</v>
      </c>
      <c r="L321" s="20" t="s">
        <v>1122</v>
      </c>
      <c r="M321" s="47">
        <f t="shared" si="4"/>
        <v>0.18850003814328176</v>
      </c>
      <c r="N321" s="60">
        <f t="shared" si="4"/>
        <v>0.20521567552751918</v>
      </c>
      <c r="O321" s="50">
        <f t="shared" si="4"/>
        <v>0.19878833900099746</v>
      </c>
    </row>
    <row r="322" spans="2:15" x14ac:dyDescent="0.3">
      <c r="B322" s="20" t="s">
        <v>323</v>
      </c>
      <c r="C322" s="47">
        <f>LE_BRA!C274</f>
        <v>4.5549366506971651</v>
      </c>
      <c r="D322" s="60">
        <f>LE_IND!C274</f>
        <v>3.6580350117571174</v>
      </c>
      <c r="E322" s="50">
        <f>LE_ZAF!C274</f>
        <v>3.2651374377733839</v>
      </c>
      <c r="G322" s="20" t="s">
        <v>723</v>
      </c>
      <c r="H322" s="47">
        <f>LE_BRA!AD274</f>
        <v>4.3585673583744535</v>
      </c>
      <c r="I322" s="60">
        <f>LE_IND!AD274</f>
        <v>3.4521804656208159</v>
      </c>
      <c r="J322" s="50">
        <f>LE_ZAF!AD274</f>
        <v>3.0730677204008421</v>
      </c>
      <c r="L322" s="20" t="s">
        <v>1123</v>
      </c>
      <c r="M322" s="47">
        <f t="shared" si="4"/>
        <v>0.19636929232271161</v>
      </c>
      <c r="N322" s="60">
        <f t="shared" si="4"/>
        <v>0.2058545461363015</v>
      </c>
      <c r="O322" s="50">
        <f t="shared" si="4"/>
        <v>0.19206971737254186</v>
      </c>
    </row>
    <row r="323" spans="2:15" x14ac:dyDescent="0.3">
      <c r="B323" s="20" t="s">
        <v>324</v>
      </c>
      <c r="C323" s="47">
        <f>LE_BRA!C275</f>
        <v>3.5237399242774892</v>
      </c>
      <c r="D323" s="60">
        <f>LE_IND!C275</f>
        <v>2.6796456993191691</v>
      </c>
      <c r="E323" s="50">
        <f>LE_ZAF!C275</f>
        <v>2.2346892921661117</v>
      </c>
      <c r="G323" s="20" t="s">
        <v>724</v>
      </c>
      <c r="H323" s="47">
        <f>LE_BRA!AD275</f>
        <v>3.3279681760799895</v>
      </c>
      <c r="I323" s="60">
        <f>LE_IND!AD275</f>
        <v>2.4862524922947258</v>
      </c>
      <c r="J323" s="50">
        <f>LE_ZAF!AD275</f>
        <v>2.0646160628524468</v>
      </c>
      <c r="L323" s="20" t="s">
        <v>1124</v>
      </c>
      <c r="M323" s="47">
        <f t="shared" si="4"/>
        <v>0.19577174819749965</v>
      </c>
      <c r="N323" s="60">
        <f t="shared" si="4"/>
        <v>0.19339320702444329</v>
      </c>
      <c r="O323" s="50">
        <f t="shared" si="4"/>
        <v>0.17007322931366486</v>
      </c>
    </row>
    <row r="324" spans="2:15" x14ac:dyDescent="0.3">
      <c r="B324" s="20" t="s">
        <v>325</v>
      </c>
      <c r="C324" s="47">
        <f>LE_BRA!C276</f>
        <v>8.6385318019409052</v>
      </c>
      <c r="D324" s="60">
        <f>LE_IND!C276</f>
        <v>8.5526624866280514</v>
      </c>
      <c r="E324" s="50">
        <f>LE_ZAF!C276</f>
        <v>8.4202121097374345</v>
      </c>
      <c r="G324" s="20" t="s">
        <v>725</v>
      </c>
      <c r="H324" s="47">
        <f>LE_BRA!AD276</f>
        <v>8.6136569573696988</v>
      </c>
      <c r="I324" s="60">
        <f>LE_IND!AD276</f>
        <v>8.5215994708374918</v>
      </c>
      <c r="J324" s="50">
        <f>LE_ZAF!AD276</f>
        <v>8.3765871669278322</v>
      </c>
      <c r="L324" s="20" t="s">
        <v>1125</v>
      </c>
      <c r="M324" s="47">
        <f t="shared" si="4"/>
        <v>2.4874844571206367E-2</v>
      </c>
      <c r="N324" s="60">
        <f t="shared" si="4"/>
        <v>3.1063015790559589E-2</v>
      </c>
      <c r="O324" s="50">
        <f t="shared" si="4"/>
        <v>4.3624942809602274E-2</v>
      </c>
    </row>
    <row r="325" spans="2:15" x14ac:dyDescent="0.3">
      <c r="B325" s="20" t="s">
        <v>326</v>
      </c>
      <c r="C325" s="47">
        <f>LE_BRA!C277</f>
        <v>8.565525038985939</v>
      </c>
      <c r="D325" s="60">
        <f>LE_IND!C277</f>
        <v>8.479072409257947</v>
      </c>
      <c r="E325" s="50">
        <f>LE_ZAF!C277</f>
        <v>8.3208554316555805</v>
      </c>
      <c r="G325" s="20" t="s">
        <v>726</v>
      </c>
      <c r="H325" s="47">
        <f>LE_BRA!AD277</f>
        <v>8.5353351048723916</v>
      </c>
      <c r="I325" s="60">
        <f>LE_IND!AD277</f>
        <v>8.4441182484279</v>
      </c>
      <c r="J325" s="50">
        <f>LE_ZAF!AD277</f>
        <v>8.2712545402326114</v>
      </c>
      <c r="L325" s="20" t="s">
        <v>1126</v>
      </c>
      <c r="M325" s="47">
        <f t="shared" si="4"/>
        <v>3.0189934113547423E-2</v>
      </c>
      <c r="N325" s="60">
        <f t="shared" si="4"/>
        <v>3.4954160830046987E-2</v>
      </c>
      <c r="O325" s="50">
        <f t="shared" si="4"/>
        <v>4.9600891422969084E-2</v>
      </c>
    </row>
    <row r="326" spans="2:15" x14ac:dyDescent="0.3">
      <c r="B326" s="20" t="s">
        <v>327</v>
      </c>
      <c r="C326" s="47">
        <f>LE_BRA!C278</f>
        <v>8.4680116568495372</v>
      </c>
      <c r="D326" s="60">
        <f>LE_IND!C278</f>
        <v>8.3678195326718345</v>
      </c>
      <c r="E326" s="50">
        <f>LE_ZAF!C278</f>
        <v>8.1712629867738169</v>
      </c>
      <c r="G326" s="20" t="s">
        <v>727</v>
      </c>
      <c r="H326" s="47">
        <f>LE_BRA!AD278</f>
        <v>8.4304392584255439</v>
      </c>
      <c r="I326" s="60">
        <f>LE_IND!AD278</f>
        <v>8.3255305693299615</v>
      </c>
      <c r="J326" s="50">
        <f>LE_ZAF!AD278</f>
        <v>8.110952929204343</v>
      </c>
      <c r="L326" s="20" t="s">
        <v>1127</v>
      </c>
      <c r="M326" s="47">
        <f t="shared" si="4"/>
        <v>3.7572398423993292E-2</v>
      </c>
      <c r="N326" s="60">
        <f t="shared" si="4"/>
        <v>4.2288963341873043E-2</v>
      </c>
      <c r="O326" s="50">
        <f t="shared" si="4"/>
        <v>6.031005756947394E-2</v>
      </c>
    </row>
    <row r="327" spans="2:15" x14ac:dyDescent="0.3">
      <c r="B327" s="20" t="s">
        <v>328</v>
      </c>
      <c r="C327" s="47">
        <f>LE_BRA!C279</f>
        <v>8.3527658009614303</v>
      </c>
      <c r="D327" s="60">
        <f>LE_IND!C279</f>
        <v>8.2284694267042386</v>
      </c>
      <c r="E327" s="50">
        <f>LE_ZAF!C279</f>
        <v>7.9828016236182373</v>
      </c>
      <c r="G327" s="20" t="s">
        <v>728</v>
      </c>
      <c r="H327" s="47">
        <f>LE_BRA!AD279</f>
        <v>8.3069982647749452</v>
      </c>
      <c r="I327" s="60">
        <f>LE_IND!AD279</f>
        <v>8.1771491545119979</v>
      </c>
      <c r="J327" s="50">
        <f>LE_ZAF!AD279</f>
        <v>7.9090985785655823</v>
      </c>
      <c r="L327" s="20" t="s">
        <v>1128</v>
      </c>
      <c r="M327" s="47">
        <f t="shared" si="4"/>
        <v>4.5767536186485103E-2</v>
      </c>
      <c r="N327" s="60">
        <f t="shared" si="4"/>
        <v>5.1320272192240779E-2</v>
      </c>
      <c r="O327" s="50">
        <f t="shared" si="4"/>
        <v>7.3703045052655014E-2</v>
      </c>
    </row>
    <row r="328" spans="2:15" x14ac:dyDescent="0.3">
      <c r="B328" s="20" t="s">
        <v>329</v>
      </c>
      <c r="C328" s="47">
        <f>LE_BRA!C280</f>
        <v>8.2251041112178367</v>
      </c>
      <c r="D328" s="60">
        <f>LE_IND!C280</f>
        <v>8.062108763588121</v>
      </c>
      <c r="E328" s="50">
        <f>LE_ZAF!C280</f>
        <v>7.7595184544613591</v>
      </c>
      <c r="G328" s="20" t="s">
        <v>729</v>
      </c>
      <c r="H328" s="47">
        <f>LE_BRA!AD280</f>
        <v>8.1714470446686818</v>
      </c>
      <c r="I328" s="60">
        <f>LE_IND!AD280</f>
        <v>8.0007516957309317</v>
      </c>
      <c r="J328" s="50">
        <f>LE_ZAF!AD280</f>
        <v>7.6708755551570622</v>
      </c>
      <c r="L328" s="20" t="s">
        <v>1129</v>
      </c>
      <c r="M328" s="47">
        <f t="shared" si="4"/>
        <v>5.3657066549154919E-2</v>
      </c>
      <c r="N328" s="60">
        <f t="shared" si="4"/>
        <v>6.1357067857189307E-2</v>
      </c>
      <c r="O328" s="50">
        <f t="shared" si="4"/>
        <v>8.8642899304296918E-2</v>
      </c>
    </row>
    <row r="329" spans="2:15" x14ac:dyDescent="0.3">
      <c r="B329" s="20" t="s">
        <v>330</v>
      </c>
      <c r="C329" s="47">
        <f>LE_BRA!C281</f>
        <v>8.0724691868414986</v>
      </c>
      <c r="D329" s="60">
        <f>LE_IND!C281</f>
        <v>7.8600291451434128</v>
      </c>
      <c r="E329" s="50">
        <f>LE_ZAF!C281</f>
        <v>7.5012620463164534</v>
      </c>
      <c r="G329" s="20" t="s">
        <v>730</v>
      </c>
      <c r="H329" s="47">
        <f>LE_BRA!AD281</f>
        <v>8.0100609940735232</v>
      </c>
      <c r="I329" s="60">
        <f>LE_IND!AD281</f>
        <v>7.7871476243893296</v>
      </c>
      <c r="J329" s="50">
        <f>LE_ZAF!AD281</f>
        <v>7.3967953945665608</v>
      </c>
      <c r="L329" s="20" t="s">
        <v>1130</v>
      </c>
      <c r="M329" s="47">
        <f t="shared" si="4"/>
        <v>6.2408192767975379E-2</v>
      </c>
      <c r="N329" s="60">
        <f t="shared" si="4"/>
        <v>7.2881520754083162E-2</v>
      </c>
      <c r="O329" s="50">
        <f t="shared" si="4"/>
        <v>0.10446665174989267</v>
      </c>
    </row>
    <row r="330" spans="2:15" x14ac:dyDescent="0.3">
      <c r="B330" s="20" t="s">
        <v>331</v>
      </c>
      <c r="C330" s="47">
        <f>LE_BRA!C282</f>
        <v>7.8798721592120176</v>
      </c>
      <c r="D330" s="60">
        <f>LE_IND!C282</f>
        <v>7.6102216293676284</v>
      </c>
      <c r="E330" s="50">
        <f>LE_ZAF!C282</f>
        <v>7.206862133072903</v>
      </c>
      <c r="G330" s="20" t="s">
        <v>731</v>
      </c>
      <c r="H330" s="47">
        <f>LE_BRA!AD282</f>
        <v>7.8065086761561577</v>
      </c>
      <c r="I330" s="60">
        <f>LE_IND!AD282</f>
        <v>7.5235813530642881</v>
      </c>
      <c r="J330" s="50">
        <f>LE_ZAF!AD282</f>
        <v>7.0863148400935172</v>
      </c>
      <c r="L330" s="20" t="s">
        <v>1131</v>
      </c>
      <c r="M330" s="47">
        <f t="shared" si="4"/>
        <v>7.3363483055859824E-2</v>
      </c>
      <c r="N330" s="60">
        <f t="shared" si="4"/>
        <v>8.6640276303340258E-2</v>
      </c>
      <c r="O330" s="50">
        <f t="shared" si="4"/>
        <v>0.12054729297938582</v>
      </c>
    </row>
    <row r="331" spans="2:15" x14ac:dyDescent="0.3">
      <c r="B331" s="20" t="s">
        <v>332</v>
      </c>
      <c r="C331" s="47">
        <f>LE_BRA!C283</f>
        <v>7.6435577961381949</v>
      </c>
      <c r="D331" s="60">
        <f>LE_IND!C283</f>
        <v>7.3071061530709507</v>
      </c>
      <c r="E331" s="50">
        <f>LE_ZAF!C283</f>
        <v>6.878646387834074</v>
      </c>
      <c r="G331" s="20" t="s">
        <v>732</v>
      </c>
      <c r="H331" s="47">
        <f>LE_BRA!AD283</f>
        <v>7.5573333736853376</v>
      </c>
      <c r="I331" s="60">
        <f>LE_IND!AD283</f>
        <v>7.2047448268336742</v>
      </c>
      <c r="J331" s="50">
        <f>LE_ZAF!AD283</f>
        <v>6.7429080575581262</v>
      </c>
      <c r="L331" s="20" t="s">
        <v>1132</v>
      </c>
      <c r="M331" s="47">
        <f t="shared" si="4"/>
        <v>8.6224422452857219E-2</v>
      </c>
      <c r="N331" s="60">
        <f t="shared" si="4"/>
        <v>0.10236132623727645</v>
      </c>
      <c r="O331" s="50">
        <f t="shared" si="4"/>
        <v>0.13573833027594784</v>
      </c>
    </row>
    <row r="332" spans="2:15" x14ac:dyDescent="0.3">
      <c r="B332" s="20" t="s">
        <v>333</v>
      </c>
      <c r="C332" s="47">
        <f>LE_BRA!C284</f>
        <v>7.3566337560006376</v>
      </c>
      <c r="D332" s="60">
        <f>LE_IND!C284</f>
        <v>6.9431612563087741</v>
      </c>
      <c r="E332" s="50">
        <f>LE_ZAF!C284</f>
        <v>6.5146698359810902</v>
      </c>
      <c r="G332" s="20" t="s">
        <v>733</v>
      </c>
      <c r="H332" s="47">
        <f>LE_BRA!AD284</f>
        <v>7.2556998009073901</v>
      </c>
      <c r="I332" s="60">
        <f>LE_IND!AD284</f>
        <v>6.8233237938263454</v>
      </c>
      <c r="J332" s="50">
        <f>LE_ZAF!AD284</f>
        <v>6.3654183092428438</v>
      </c>
      <c r="L332" s="20" t="s">
        <v>1133</v>
      </c>
      <c r="M332" s="47">
        <f t="shared" si="4"/>
        <v>0.10093395509324754</v>
      </c>
      <c r="N332" s="60">
        <f t="shared" si="4"/>
        <v>0.11983746248242877</v>
      </c>
      <c r="O332" s="50">
        <f t="shared" si="4"/>
        <v>0.14925152673824638</v>
      </c>
    </row>
    <row r="333" spans="2:15" x14ac:dyDescent="0.3">
      <c r="B333" s="20" t="s">
        <v>334</v>
      </c>
      <c r="C333" s="47">
        <f>LE_BRA!C285</f>
        <v>7.0133675556622155</v>
      </c>
      <c r="D333" s="60">
        <f>LE_IND!C285</f>
        <v>6.5103682123484736</v>
      </c>
      <c r="E333" s="50">
        <f>LE_ZAF!C285</f>
        <v>6.0982536581389732</v>
      </c>
      <c r="G333" s="20" t="s">
        <v>734</v>
      </c>
      <c r="H333" s="47">
        <f>LE_BRA!AD285</f>
        <v>6.8962509718664418</v>
      </c>
      <c r="I333" s="60">
        <f>LE_IND!AD285</f>
        <v>6.3716069867434149</v>
      </c>
      <c r="J333" s="50">
        <f>LE_ZAF!AD285</f>
        <v>5.93638303097533</v>
      </c>
      <c r="L333" s="20" t="s">
        <v>1134</v>
      </c>
      <c r="M333" s="47">
        <f t="shared" si="4"/>
        <v>0.11711658379577372</v>
      </c>
      <c r="N333" s="60">
        <f t="shared" si="4"/>
        <v>0.13876122560505877</v>
      </c>
      <c r="O333" s="50">
        <f t="shared" si="4"/>
        <v>0.1618706271636432</v>
      </c>
    </row>
    <row r="334" spans="2:15" x14ac:dyDescent="0.3">
      <c r="B334" s="20" t="s">
        <v>335</v>
      </c>
      <c r="C334" s="47">
        <f>LE_BRA!C286</f>
        <v>6.6109856846135502</v>
      </c>
      <c r="D334" s="60">
        <f>LE_IND!C286</f>
        <v>6.0118547180860471</v>
      </c>
      <c r="E334" s="50">
        <f>LE_ZAF!C286</f>
        <v>5.6234497539489414</v>
      </c>
      <c r="G334" s="20" t="s">
        <v>735</v>
      </c>
      <c r="H334" s="47">
        <f>LE_BRA!AD286</f>
        <v>6.4771246587748319</v>
      </c>
      <c r="I334" s="60">
        <f>LE_IND!AD286</f>
        <v>5.8544245108685153</v>
      </c>
      <c r="J334" s="50">
        <f>LE_ZAF!AD286</f>
        <v>5.4504941147158839</v>
      </c>
      <c r="L334" s="20" t="s">
        <v>1135</v>
      </c>
      <c r="M334" s="47">
        <f t="shared" si="4"/>
        <v>0.13386102583871828</v>
      </c>
      <c r="N334" s="60">
        <f t="shared" si="4"/>
        <v>0.15743020721753176</v>
      </c>
      <c r="O334" s="50">
        <f t="shared" si="4"/>
        <v>0.17295563923305757</v>
      </c>
    </row>
    <row r="335" spans="2:15" x14ac:dyDescent="0.3">
      <c r="B335" s="20" t="s">
        <v>336</v>
      </c>
      <c r="C335" s="47">
        <f>LE_BRA!C287</f>
        <v>6.1422916510735046</v>
      </c>
      <c r="D335" s="60">
        <f>LE_IND!C287</f>
        <v>5.4542985450656465</v>
      </c>
      <c r="E335" s="50">
        <f>LE_ZAF!C287</f>
        <v>5.0817424021300113</v>
      </c>
      <c r="G335" s="20" t="s">
        <v>736</v>
      </c>
      <c r="H335" s="47">
        <f>LE_BRA!AD287</f>
        <v>5.9916387731657776</v>
      </c>
      <c r="I335" s="60">
        <f>LE_IND!AD287</f>
        <v>5.28048237744256</v>
      </c>
      <c r="J335" s="50">
        <f>LE_ZAF!AD287</f>
        <v>4.8996866861929655</v>
      </c>
      <c r="L335" s="20" t="s">
        <v>1136</v>
      </c>
      <c r="M335" s="47">
        <f t="shared" si="4"/>
        <v>0.15065287790772697</v>
      </c>
      <c r="N335" s="60">
        <f t="shared" si="4"/>
        <v>0.17381616762308649</v>
      </c>
      <c r="O335" s="50">
        <f t="shared" si="4"/>
        <v>0.18205571593704573</v>
      </c>
    </row>
    <row r="336" spans="2:15" x14ac:dyDescent="0.3">
      <c r="B336" s="20" t="s">
        <v>337</v>
      </c>
      <c r="C336" s="47">
        <f>LE_BRA!C288</f>
        <v>5.6052194383229814</v>
      </c>
      <c r="D336" s="60">
        <f>LE_IND!C288</f>
        <v>4.8375111301345832</v>
      </c>
      <c r="E336" s="50">
        <f>LE_ZAF!C288</f>
        <v>4.4704059792308373</v>
      </c>
      <c r="G336" s="20" t="s">
        <v>737</v>
      </c>
      <c r="H336" s="47">
        <f>LE_BRA!AD288</f>
        <v>5.4389005507825674</v>
      </c>
      <c r="I336" s="60">
        <f>LE_IND!AD288</f>
        <v>4.6505929561948234</v>
      </c>
      <c r="J336" s="50">
        <f>LE_ZAF!AD288</f>
        <v>4.2821257151623007</v>
      </c>
      <c r="L336" s="20" t="s">
        <v>1137</v>
      </c>
      <c r="M336" s="47">
        <f t="shared" si="4"/>
        <v>0.16631888754041402</v>
      </c>
      <c r="N336" s="60">
        <f t="shared" si="4"/>
        <v>0.18691817393975985</v>
      </c>
      <c r="O336" s="50">
        <f t="shared" si="4"/>
        <v>0.1882802640685366</v>
      </c>
    </row>
    <row r="337" spans="2:15" x14ac:dyDescent="0.3">
      <c r="B337" s="20" t="s">
        <v>338</v>
      </c>
      <c r="C337" s="47">
        <f>LE_BRA!C289</f>
        <v>5.0068803543515106</v>
      </c>
      <c r="D337" s="60">
        <f>LE_IND!C289</f>
        <v>4.172850126014457</v>
      </c>
      <c r="E337" s="50">
        <f>LE_ZAF!C289</f>
        <v>3.8065823436132407</v>
      </c>
      <c r="G337" s="20" t="s">
        <v>738</v>
      </c>
      <c r="H337" s="47">
        <f>LE_BRA!AD289</f>
        <v>4.8281112871934946</v>
      </c>
      <c r="I337" s="60">
        <f>LE_IND!AD289</f>
        <v>3.9777062556557885</v>
      </c>
      <c r="J337" s="50">
        <f>LE_ZAF!AD289</f>
        <v>3.6173210672699607</v>
      </c>
      <c r="L337" s="20" t="s">
        <v>1138</v>
      </c>
      <c r="M337" s="47">
        <f t="shared" si="4"/>
        <v>0.17876906715801599</v>
      </c>
      <c r="N337" s="60">
        <f t="shared" si="4"/>
        <v>0.19514387035866854</v>
      </c>
      <c r="O337" s="50">
        <f t="shared" si="4"/>
        <v>0.18926127634327994</v>
      </c>
    </row>
    <row r="338" spans="2:15" x14ac:dyDescent="0.3">
      <c r="B338" s="20" t="s">
        <v>339</v>
      </c>
      <c r="C338" s="47">
        <f>LE_BRA!C290</f>
        <v>4.3525269055962355</v>
      </c>
      <c r="D338" s="60">
        <f>LE_IND!C290</f>
        <v>3.4950625145682643</v>
      </c>
      <c r="E338" s="50">
        <f>LE_ZAF!C290</f>
        <v>3.1152726906264951</v>
      </c>
      <c r="G338" s="20" t="s">
        <v>739</v>
      </c>
      <c r="H338" s="47">
        <f>LE_BRA!AD290</f>
        <v>4.1660900911035856</v>
      </c>
      <c r="I338" s="60">
        <f>LE_IND!AD290</f>
        <v>3.2991598678560545</v>
      </c>
      <c r="J338" s="50">
        <f>LE_ZAF!AD290</f>
        <v>2.9322976674070182</v>
      </c>
      <c r="L338" s="20" t="s">
        <v>1139</v>
      </c>
      <c r="M338" s="47">
        <f t="shared" si="4"/>
        <v>0.18643681449264982</v>
      </c>
      <c r="N338" s="60">
        <f t="shared" si="4"/>
        <v>0.1959026467122098</v>
      </c>
      <c r="O338" s="50">
        <f t="shared" si="4"/>
        <v>0.1829750232194769</v>
      </c>
    </row>
    <row r="339" spans="2:15" x14ac:dyDescent="0.3">
      <c r="B339" s="20" t="s">
        <v>340</v>
      </c>
      <c r="C339" s="47">
        <f>LE_BRA!C291</f>
        <v>3.3675120078656433</v>
      </c>
      <c r="D339" s="60">
        <f>LE_IND!C291</f>
        <v>2.5603727772133746</v>
      </c>
      <c r="E339" s="50">
        <f>LE_ZAF!C291</f>
        <v>2.1330623459194227</v>
      </c>
      <c r="G339" s="20" t="s">
        <v>740</v>
      </c>
      <c r="H339" s="47">
        <f>LE_BRA!AD291</f>
        <v>3.1813853242695047</v>
      </c>
      <c r="I339" s="60">
        <f>LE_IND!AD291</f>
        <v>2.3761483440640547</v>
      </c>
      <c r="J339" s="50">
        <f>LE_ZAF!AD291</f>
        <v>1.9709071211254692</v>
      </c>
      <c r="L339" s="20" t="s">
        <v>1140</v>
      </c>
      <c r="M339" s="47">
        <f t="shared" si="4"/>
        <v>0.1861266835961386</v>
      </c>
      <c r="N339" s="60">
        <f t="shared" si="4"/>
        <v>0.18422443314931991</v>
      </c>
      <c r="O339" s="50">
        <f t="shared" si="4"/>
        <v>0.1621552247939535</v>
      </c>
    </row>
    <row r="340" spans="2:15" x14ac:dyDescent="0.3">
      <c r="B340" s="20" t="s">
        <v>341</v>
      </c>
      <c r="C340" s="47">
        <f>LE_BRA!C292</f>
        <v>8.2304280216933066</v>
      </c>
      <c r="D340" s="60">
        <f>LE_IND!C292</f>
        <v>8.1484900219076071</v>
      </c>
      <c r="E340" s="50">
        <f>LE_ZAF!C292</f>
        <v>8.0241113689899954</v>
      </c>
      <c r="G340" s="20" t="s">
        <v>741</v>
      </c>
      <c r="H340" s="47">
        <f>LE_BRA!AD292</f>
        <v>8.2070791580632996</v>
      </c>
      <c r="I340" s="60">
        <f>LE_IND!AD292</f>
        <v>8.1192211697465577</v>
      </c>
      <c r="J340" s="50">
        <f>LE_ZAF!AD292</f>
        <v>7.9830805686990036</v>
      </c>
      <c r="L340" s="20" t="s">
        <v>1141</v>
      </c>
      <c r="M340" s="47">
        <f t="shared" si="4"/>
        <v>2.3348863630006989E-2</v>
      </c>
      <c r="N340" s="60">
        <f t="shared" si="4"/>
        <v>2.9268852161049352E-2</v>
      </c>
      <c r="O340" s="50">
        <f t="shared" si="4"/>
        <v>4.103080029099182E-2</v>
      </c>
    </row>
    <row r="341" spans="2:15" x14ac:dyDescent="0.3">
      <c r="B341" s="20" t="s">
        <v>342</v>
      </c>
      <c r="C341" s="47">
        <f>LE_BRA!C293</f>
        <v>8.161530893334227</v>
      </c>
      <c r="D341" s="60">
        <f>LE_IND!C293</f>
        <v>8.0783948011114237</v>
      </c>
      <c r="E341" s="50">
        <f>LE_ZAF!C293</f>
        <v>7.929893039918289</v>
      </c>
      <c r="G341" s="20" t="s">
        <v>742</v>
      </c>
      <c r="H341" s="47">
        <f>LE_BRA!AD293</f>
        <v>8.1331785975407538</v>
      </c>
      <c r="I341" s="60">
        <f>LE_IND!AD293</f>
        <v>8.0453909715013125</v>
      </c>
      <c r="J341" s="50">
        <f>LE_ZAF!AD293</f>
        <v>7.8831914513401617</v>
      </c>
      <c r="L341" s="20" t="s">
        <v>1142</v>
      </c>
      <c r="M341" s="47">
        <f t="shared" si="4"/>
        <v>2.8352295793473203E-2</v>
      </c>
      <c r="N341" s="60">
        <f t="shared" si="4"/>
        <v>3.3003829610111168E-2</v>
      </c>
      <c r="O341" s="50">
        <f t="shared" si="4"/>
        <v>4.6701588578127229E-2</v>
      </c>
    </row>
    <row r="342" spans="2:15" x14ac:dyDescent="0.3">
      <c r="B342" s="20" t="s">
        <v>343</v>
      </c>
      <c r="C342" s="47">
        <f>LE_BRA!C294</f>
        <v>8.0695790571836561</v>
      </c>
      <c r="D342" s="60">
        <f>LE_IND!C294</f>
        <v>7.9729383364076805</v>
      </c>
      <c r="E342" s="50">
        <f>LE_ZAF!C294</f>
        <v>7.7884515673267227</v>
      </c>
      <c r="G342" s="20" t="s">
        <v>743</v>
      </c>
      <c r="H342" s="47">
        <f>LE_BRA!AD294</f>
        <v>8.0342856384416681</v>
      </c>
      <c r="I342" s="60">
        <f>LE_IND!AD294</f>
        <v>7.9329808560861652</v>
      </c>
      <c r="J342" s="50">
        <f>LE_ZAF!AD294</f>
        <v>7.7316443439833904</v>
      </c>
      <c r="L342" s="20" t="s">
        <v>1143</v>
      </c>
      <c r="M342" s="47">
        <f t="shared" si="4"/>
        <v>3.5293418741987992E-2</v>
      </c>
      <c r="N342" s="60">
        <f t="shared" si="4"/>
        <v>3.9957480321515249E-2</v>
      </c>
      <c r="O342" s="50">
        <f t="shared" si="4"/>
        <v>5.6807223343332325E-2</v>
      </c>
    </row>
    <row r="343" spans="2:15" x14ac:dyDescent="0.3">
      <c r="B343" s="20" t="s">
        <v>344</v>
      </c>
      <c r="C343" s="47">
        <f>LE_BRA!C295</f>
        <v>7.9607568792713828</v>
      </c>
      <c r="D343" s="60">
        <f>LE_IND!C295</f>
        <v>7.8408727377141858</v>
      </c>
      <c r="E343" s="50">
        <f>LE_ZAF!C295</f>
        <v>7.6102622582079471</v>
      </c>
      <c r="G343" s="20" t="s">
        <v>744</v>
      </c>
      <c r="H343" s="47">
        <f>LE_BRA!AD295</f>
        <v>7.9177425098147127</v>
      </c>
      <c r="I343" s="60">
        <f>LE_IND!AD295</f>
        <v>7.7923570628583185</v>
      </c>
      <c r="J343" s="50">
        <f>LE_ZAF!AD295</f>
        <v>7.5408190526412779</v>
      </c>
      <c r="L343" s="20" t="s">
        <v>1144</v>
      </c>
      <c r="M343" s="47">
        <f t="shared" si="4"/>
        <v>4.3014369456670032E-2</v>
      </c>
      <c r="N343" s="60">
        <f t="shared" si="4"/>
        <v>4.8515674855867275E-2</v>
      </c>
      <c r="O343" s="50">
        <f t="shared" si="4"/>
        <v>6.9443205566669164E-2</v>
      </c>
    </row>
    <row r="344" spans="2:15" x14ac:dyDescent="0.3">
      <c r="B344" s="20" t="s">
        <v>345</v>
      </c>
      <c r="C344" s="47">
        <f>LE_BRA!C296</f>
        <v>7.8399065774136423</v>
      </c>
      <c r="D344" s="60">
        <f>LE_IND!C296</f>
        <v>7.683141850035625</v>
      </c>
      <c r="E344" s="50">
        <f>LE_ZAF!C296</f>
        <v>7.3989637596582369</v>
      </c>
      <c r="G344" s="20" t="s">
        <v>745</v>
      </c>
      <c r="H344" s="47">
        <f>LE_BRA!AD296</f>
        <v>7.789426155736396</v>
      </c>
      <c r="I344" s="60">
        <f>LE_IND!AD296</f>
        <v>7.6251076802097817</v>
      </c>
      <c r="J344" s="50">
        <f>LE_ZAF!AD296</f>
        <v>7.3154091514602166</v>
      </c>
      <c r="L344" s="20" t="s">
        <v>1145</v>
      </c>
      <c r="M344" s="47">
        <f t="shared" si="4"/>
        <v>5.0480421677246312E-2</v>
      </c>
      <c r="N344" s="60">
        <f t="shared" si="4"/>
        <v>5.8034169825843307E-2</v>
      </c>
      <c r="O344" s="50">
        <f t="shared" si="4"/>
        <v>8.3554608198020297E-2</v>
      </c>
    </row>
    <row r="345" spans="2:15" x14ac:dyDescent="0.3">
      <c r="B345" s="20" t="s">
        <v>346</v>
      </c>
      <c r="C345" s="47">
        <f>LE_BRA!C297</f>
        <v>7.6952940529078582</v>
      </c>
      <c r="D345" s="60">
        <f>LE_IND!C297</f>
        <v>7.4914922427862924</v>
      </c>
      <c r="E345" s="50">
        <f>LE_ZAF!C297</f>
        <v>7.1541381126929275</v>
      </c>
      <c r="G345" s="20" t="s">
        <v>746</v>
      </c>
      <c r="H345" s="47">
        <f>LE_BRA!AD297</f>
        <v>7.6365185786447904</v>
      </c>
      <c r="I345" s="60">
        <f>LE_IND!AD297</f>
        <v>7.4225230362669459</v>
      </c>
      <c r="J345" s="50">
        <f>LE_ZAF!AD297</f>
        <v>7.0555951404154316</v>
      </c>
      <c r="L345" s="20" t="s">
        <v>1146</v>
      </c>
      <c r="M345" s="47">
        <f t="shared" si="4"/>
        <v>5.8775474263067728E-2</v>
      </c>
      <c r="N345" s="60">
        <f t="shared" si="4"/>
        <v>6.8969206519346571E-2</v>
      </c>
      <c r="O345" s="50">
        <f t="shared" si="4"/>
        <v>9.8542972277495977E-2</v>
      </c>
    </row>
    <row r="346" spans="2:15" x14ac:dyDescent="0.3">
      <c r="B346" s="20" t="s">
        <v>347</v>
      </c>
      <c r="C346" s="47">
        <f>LE_BRA!C298</f>
        <v>7.5128677773310786</v>
      </c>
      <c r="D346" s="60">
        <f>LE_IND!C298</f>
        <v>7.2545398080149122</v>
      </c>
      <c r="E346" s="50">
        <f>LE_ZAF!C298</f>
        <v>6.8744229991544934</v>
      </c>
      <c r="G346" s="20" t="s">
        <v>747</v>
      </c>
      <c r="H346" s="47">
        <f>LE_BRA!AD298</f>
        <v>7.4437161966004251</v>
      </c>
      <c r="I346" s="60">
        <f>LE_IND!AD298</f>
        <v>7.1725121045403233</v>
      </c>
      <c r="J346" s="50">
        <f>LE_ZAF!AD298</f>
        <v>6.7605848974204754</v>
      </c>
      <c r="L346" s="20" t="s">
        <v>1147</v>
      </c>
      <c r="M346" s="47">
        <f t="shared" si="4"/>
        <v>6.9151580730653528E-2</v>
      </c>
      <c r="N346" s="60">
        <f t="shared" si="4"/>
        <v>8.2027703474588876E-2</v>
      </c>
      <c r="O346" s="50">
        <f t="shared" si="4"/>
        <v>0.11383810173401798</v>
      </c>
    </row>
    <row r="347" spans="2:15" x14ac:dyDescent="0.3">
      <c r="B347" s="20" t="s">
        <v>348</v>
      </c>
      <c r="C347" s="47">
        <f>LE_BRA!C299</f>
        <v>7.2889647536836231</v>
      </c>
      <c r="D347" s="60">
        <f>LE_IND!C299</f>
        <v>6.9669115015755949</v>
      </c>
      <c r="E347" s="50">
        <f>LE_ZAF!C299</f>
        <v>6.5618741909745468</v>
      </c>
      <c r="G347" s="20" t="s">
        <v>748</v>
      </c>
      <c r="H347" s="47">
        <f>LE_BRA!AD299</f>
        <v>7.2076268713325007</v>
      </c>
      <c r="I347" s="60">
        <f>LE_IND!AD299</f>
        <v>6.8699511296716675</v>
      </c>
      <c r="J347" s="50">
        <f>LE_ZAF!AD299</f>
        <v>6.4335128907932315</v>
      </c>
      <c r="L347" s="20" t="s">
        <v>1148</v>
      </c>
      <c r="M347" s="47">
        <f t="shared" si="4"/>
        <v>8.1337882351122381E-2</v>
      </c>
      <c r="N347" s="60">
        <f t="shared" si="4"/>
        <v>9.6960371903927367E-2</v>
      </c>
      <c r="O347" s="50">
        <f t="shared" si="4"/>
        <v>0.12836130018131531</v>
      </c>
    </row>
    <row r="348" spans="2:15" x14ac:dyDescent="0.3">
      <c r="B348" s="20" t="s">
        <v>349</v>
      </c>
      <c r="C348" s="47">
        <f>LE_BRA!C300</f>
        <v>7.0169898844443637</v>
      </c>
      <c r="D348" s="60">
        <f>LE_IND!C300</f>
        <v>6.6214189456987285</v>
      </c>
      <c r="E348" s="50">
        <f>LE_ZAF!C300</f>
        <v>6.2146338734350124</v>
      </c>
      <c r="G348" s="20" t="s">
        <v>749</v>
      </c>
      <c r="H348" s="47">
        <f>LE_BRA!AD300</f>
        <v>6.9217039632812778</v>
      </c>
      <c r="I348" s="60">
        <f>LE_IND!AD300</f>
        <v>6.5078441596797374</v>
      </c>
      <c r="J348" s="50">
        <f>LE_ZAF!AD300</f>
        <v>6.0732755346322032</v>
      </c>
      <c r="L348" s="20" t="s">
        <v>1149</v>
      </c>
      <c r="M348" s="47">
        <f t="shared" si="4"/>
        <v>9.5285921163085874E-2</v>
      </c>
      <c r="N348" s="60">
        <f t="shared" si="4"/>
        <v>0.11357478601899107</v>
      </c>
      <c r="O348" s="50">
        <f t="shared" si="4"/>
        <v>0.14135833880280924</v>
      </c>
    </row>
    <row r="349" spans="2:15" x14ac:dyDescent="0.3">
      <c r="B349" s="20" t="s">
        <v>350</v>
      </c>
      <c r="C349" s="47">
        <f>LE_BRA!C301</f>
        <v>6.6914211720448789</v>
      </c>
      <c r="D349" s="60">
        <f>LE_IND!C301</f>
        <v>6.2104301139207108</v>
      </c>
      <c r="E349" s="50">
        <f>LE_ZAF!C301</f>
        <v>5.8171881614589296</v>
      </c>
      <c r="G349" s="20" t="s">
        <v>750</v>
      </c>
      <c r="H349" s="47">
        <f>LE_BRA!AD301</f>
        <v>6.5807748555898522</v>
      </c>
      <c r="I349" s="60">
        <f>LE_IND!AD301</f>
        <v>6.0788522281401054</v>
      </c>
      <c r="J349" s="50">
        <f>LE_ZAF!AD301</f>
        <v>5.6636567225930179</v>
      </c>
      <c r="L349" s="20" t="s">
        <v>1150</v>
      </c>
      <c r="M349" s="47">
        <f t="shared" si="4"/>
        <v>0.11064631645502665</v>
      </c>
      <c r="N349" s="60">
        <f t="shared" si="4"/>
        <v>0.13157788578060536</v>
      </c>
      <c r="O349" s="50">
        <f t="shared" si="4"/>
        <v>0.1535314388659117</v>
      </c>
    </row>
    <row r="350" spans="2:15" x14ac:dyDescent="0.3">
      <c r="B350" s="20" t="s">
        <v>351</v>
      </c>
      <c r="C350" s="47">
        <f>LE_BRA!C302</f>
        <v>6.3094640382168468</v>
      </c>
      <c r="D350" s="60">
        <f>LE_IND!C302</f>
        <v>5.7367311119311299</v>
      </c>
      <c r="E350" s="50">
        <f>LE_ZAF!C302</f>
        <v>5.3640121008290249</v>
      </c>
      <c r="G350" s="20" t="s">
        <v>751</v>
      </c>
      <c r="H350" s="47">
        <f>LE_BRA!AD302</f>
        <v>6.1828963034540498</v>
      </c>
      <c r="I350" s="60">
        <f>LE_IND!AD302</f>
        <v>5.5873644205446187</v>
      </c>
      <c r="J350" s="50">
        <f>LE_ZAF!AD302</f>
        <v>5.1997579936483902</v>
      </c>
      <c r="L350" s="20" t="s">
        <v>1151</v>
      </c>
      <c r="M350" s="47">
        <f t="shared" si="4"/>
        <v>0.12656773476279692</v>
      </c>
      <c r="N350" s="60">
        <f t="shared" si="4"/>
        <v>0.14936669138651126</v>
      </c>
      <c r="O350" s="50">
        <f t="shared" si="4"/>
        <v>0.16425410718063471</v>
      </c>
    </row>
    <row r="351" spans="2:15" x14ac:dyDescent="0.3">
      <c r="B351" s="20" t="s">
        <v>352</v>
      </c>
      <c r="C351" s="47">
        <f>LE_BRA!C303</f>
        <v>5.8641548851516729</v>
      </c>
      <c r="D351" s="60">
        <f>LE_IND!C303</f>
        <v>5.2064431999173273</v>
      </c>
      <c r="E351" s="50">
        <f>LE_ZAF!C303</f>
        <v>4.8471723374051994</v>
      </c>
      <c r="G351" s="20" t="s">
        <v>752</v>
      </c>
      <c r="H351" s="47">
        <f>LE_BRA!AD303</f>
        <v>5.721586732195842</v>
      </c>
      <c r="I351" s="60">
        <f>LE_IND!AD303</f>
        <v>5.0414157390550391</v>
      </c>
      <c r="J351" s="50">
        <f>LE_ZAF!AD303</f>
        <v>4.6740939593078012</v>
      </c>
      <c r="L351" s="20" t="s">
        <v>1152</v>
      </c>
      <c r="M351" s="47">
        <f t="shared" si="4"/>
        <v>0.14256815295583092</v>
      </c>
      <c r="N351" s="60">
        <f t="shared" si="4"/>
        <v>0.16502746086228814</v>
      </c>
      <c r="O351" s="50">
        <f t="shared" si="4"/>
        <v>0.17307837809739812</v>
      </c>
    </row>
    <row r="352" spans="2:15" x14ac:dyDescent="0.3">
      <c r="B352" s="20" t="s">
        <v>353</v>
      </c>
      <c r="C352" s="47">
        <f>LE_BRA!C304</f>
        <v>5.3532921217778524</v>
      </c>
      <c r="D352" s="60">
        <f>LE_IND!C304</f>
        <v>4.6193303530583423</v>
      </c>
      <c r="E352" s="50">
        <f>LE_ZAF!C304</f>
        <v>4.2642217499563362</v>
      </c>
      <c r="G352" s="20" t="s">
        <v>753</v>
      </c>
      <c r="H352" s="47">
        <f>LE_BRA!AD304</f>
        <v>5.1957472419547104</v>
      </c>
      <c r="I352" s="60">
        <f>LE_IND!AD304</f>
        <v>4.4417320891509098</v>
      </c>
      <c r="J352" s="50">
        <f>LE_ZAF!AD304</f>
        <v>4.0850823092715762</v>
      </c>
      <c r="L352" s="20" t="s">
        <v>1153</v>
      </c>
      <c r="M352" s="47">
        <f t="shared" si="4"/>
        <v>0.15754487982314203</v>
      </c>
      <c r="N352" s="60">
        <f t="shared" si="4"/>
        <v>0.1775982639074325</v>
      </c>
      <c r="O352" s="50">
        <f t="shared" si="4"/>
        <v>0.17913944068475995</v>
      </c>
    </row>
    <row r="353" spans="2:15" x14ac:dyDescent="0.3">
      <c r="B353" s="20" t="s">
        <v>354</v>
      </c>
      <c r="C353" s="47">
        <f>LE_BRA!C305</f>
        <v>4.7833049935498622</v>
      </c>
      <c r="D353" s="60">
        <f>LE_IND!C305</f>
        <v>3.9860138369839566</v>
      </c>
      <c r="E353" s="50">
        <f>LE_ZAF!C305</f>
        <v>3.6313683159713048</v>
      </c>
      <c r="G353" s="20" t="s">
        <v>754</v>
      </c>
      <c r="H353" s="47">
        <f>LE_BRA!AD305</f>
        <v>4.6137806320862795</v>
      </c>
      <c r="I353" s="60">
        <f>LE_IND!AD305</f>
        <v>3.8004549257770597</v>
      </c>
      <c r="J353" s="50">
        <f>LE_ZAF!AD305</f>
        <v>3.4511783582860276</v>
      </c>
      <c r="L353" s="20" t="s">
        <v>1154</v>
      </c>
      <c r="M353" s="47">
        <f t="shared" si="4"/>
        <v>0.16952436146358263</v>
      </c>
      <c r="N353" s="60">
        <f t="shared" si="4"/>
        <v>0.18555891120689694</v>
      </c>
      <c r="O353" s="50">
        <f t="shared" si="4"/>
        <v>0.18018995768527724</v>
      </c>
    </row>
    <row r="354" spans="2:15" x14ac:dyDescent="0.3">
      <c r="B354" s="20" t="s">
        <v>355</v>
      </c>
      <c r="C354" s="47">
        <f>LE_BRA!C306</f>
        <v>4.1591494723537306</v>
      </c>
      <c r="D354" s="60">
        <f>LE_IND!C306</f>
        <v>3.3393784663027906</v>
      </c>
      <c r="E354" s="50">
        <f>LE_ZAF!C306</f>
        <v>2.9722992212667751</v>
      </c>
      <c r="G354" s="20" t="s">
        <v>755</v>
      </c>
      <c r="H354" s="47">
        <f>LE_BRA!AD306</f>
        <v>3.9821559769966717</v>
      </c>
      <c r="I354" s="60">
        <f>LE_IND!AD306</f>
        <v>3.1529523640671857</v>
      </c>
      <c r="J354" s="50">
        <f>LE_ZAF!AD306</f>
        <v>2.7979884691703649</v>
      </c>
      <c r="L354" s="20" t="s">
        <v>1155</v>
      </c>
      <c r="M354" s="47">
        <f t="shared" ref="M354:O413" si="5">C354-H354</f>
        <v>0.17699349535705888</v>
      </c>
      <c r="N354" s="60">
        <f t="shared" si="5"/>
        <v>0.18642610223560485</v>
      </c>
      <c r="O354" s="50">
        <f t="shared" si="5"/>
        <v>0.17431075209641023</v>
      </c>
    </row>
    <row r="355" spans="2:15" x14ac:dyDescent="0.3">
      <c r="B355" s="20" t="s">
        <v>356</v>
      </c>
      <c r="C355" s="47">
        <f>LE_BRA!C307</f>
        <v>3.218233618196273</v>
      </c>
      <c r="D355" s="60">
        <f>LE_IND!C307</f>
        <v>2.4464248711640746</v>
      </c>
      <c r="E355" s="50">
        <f>LE_ZAF!C307</f>
        <v>2.0360696053157135</v>
      </c>
      <c r="G355" s="20" t="s">
        <v>756</v>
      </c>
      <c r="H355" s="47">
        <f>LE_BRA!AD307</f>
        <v>3.0412851706893393</v>
      </c>
      <c r="I355" s="60">
        <f>LE_IND!AD307</f>
        <v>2.2709378075916793</v>
      </c>
      <c r="J355" s="50">
        <f>LE_ZAF!AD307</f>
        <v>1.8814634621004351</v>
      </c>
      <c r="L355" s="20" t="s">
        <v>1156</v>
      </c>
      <c r="M355" s="47">
        <f t="shared" si="5"/>
        <v>0.17694844750693361</v>
      </c>
      <c r="N355" s="60">
        <f t="shared" si="5"/>
        <v>0.1754870635723953</v>
      </c>
      <c r="O355" s="50">
        <f t="shared" si="5"/>
        <v>0.15460614321527832</v>
      </c>
    </row>
    <row r="356" spans="2:15" x14ac:dyDescent="0.3">
      <c r="B356" s="20" t="s">
        <v>357</v>
      </c>
      <c r="C356" s="47">
        <f>LE_BRA!C308</f>
        <v>7.84137758686557</v>
      </c>
      <c r="D356" s="60">
        <f>LE_IND!C308</f>
        <v>7.7631810060436583</v>
      </c>
      <c r="E356" s="50">
        <f>LE_ZAF!C308</f>
        <v>7.6460833817684097</v>
      </c>
      <c r="G356" s="20" t="s">
        <v>757</v>
      </c>
      <c r="H356" s="47">
        <f>LE_BRA!AD308</f>
        <v>7.8194378264735009</v>
      </c>
      <c r="I356" s="60">
        <f>LE_IND!AD308</f>
        <v>7.7355750395253464</v>
      </c>
      <c r="J356" s="50">
        <f>LE_ZAF!AD308</f>
        <v>7.6074306186437948</v>
      </c>
      <c r="L356" s="20" t="s">
        <v>1157</v>
      </c>
      <c r="M356" s="47">
        <f t="shared" si="5"/>
        <v>2.1939760392069019E-2</v>
      </c>
      <c r="N356" s="60">
        <f t="shared" si="5"/>
        <v>2.7605966518311931E-2</v>
      </c>
      <c r="O356" s="50">
        <f t="shared" si="5"/>
        <v>3.8652763124614964E-2</v>
      </c>
    </row>
    <row r="357" spans="2:15" x14ac:dyDescent="0.3">
      <c r="B357" s="20" t="s">
        <v>358</v>
      </c>
      <c r="C357" s="47">
        <f>LE_BRA!C309</f>
        <v>7.7763406124570187</v>
      </c>
      <c r="D357" s="60">
        <f>LE_IND!C309</f>
        <v>7.6964780976737455</v>
      </c>
      <c r="E357" s="50">
        <f>LE_ZAF!C309</f>
        <v>7.5567129359182879</v>
      </c>
      <c r="G357" s="20" t="s">
        <v>758</v>
      </c>
      <c r="H357" s="47">
        <f>LE_BRA!AD309</f>
        <v>7.7496889272665355</v>
      </c>
      <c r="I357" s="60">
        <f>LE_IND!AD309</f>
        <v>7.6652960249433795</v>
      </c>
      <c r="J357" s="50">
        <f>LE_ZAF!AD309</f>
        <v>7.5126768285769492</v>
      </c>
      <c r="L357" s="20" t="s">
        <v>1158</v>
      </c>
      <c r="M357" s="47">
        <f t="shared" si="5"/>
        <v>2.6651685190483221E-2</v>
      </c>
      <c r="N357" s="60">
        <f t="shared" si="5"/>
        <v>3.1182072730365995E-2</v>
      </c>
      <c r="O357" s="50">
        <f t="shared" si="5"/>
        <v>4.4036107341338671E-2</v>
      </c>
    </row>
    <row r="358" spans="2:15" x14ac:dyDescent="0.3">
      <c r="B358" s="20" t="s">
        <v>359</v>
      </c>
      <c r="C358" s="47">
        <f>LE_BRA!C310</f>
        <v>7.6895922908351437</v>
      </c>
      <c r="D358" s="60">
        <f>LE_IND!C310</f>
        <v>7.5965182865076901</v>
      </c>
      <c r="E358" s="50">
        <f>LE_ZAF!C310</f>
        <v>7.4228849455179935</v>
      </c>
      <c r="G358" s="20" t="s">
        <v>759</v>
      </c>
      <c r="H358" s="47">
        <f>LE_BRA!AD310</f>
        <v>7.6564096740842595</v>
      </c>
      <c r="I358" s="60">
        <f>LE_IND!AD310</f>
        <v>7.5587442776551912</v>
      </c>
      <c r="J358" s="50">
        <f>LE_ZAF!AD310</f>
        <v>7.3693019315503756</v>
      </c>
      <c r="L358" s="20" t="s">
        <v>1159</v>
      </c>
      <c r="M358" s="47">
        <f t="shared" si="5"/>
        <v>3.3182616750884186E-2</v>
      </c>
      <c r="N358" s="60">
        <f t="shared" si="5"/>
        <v>3.777400885249893E-2</v>
      </c>
      <c r="O358" s="50">
        <f t="shared" si="5"/>
        <v>5.3583013967617887E-2</v>
      </c>
    </row>
    <row r="359" spans="2:15" x14ac:dyDescent="0.3">
      <c r="B359" s="20" t="s">
        <v>360</v>
      </c>
      <c r="C359" s="47">
        <f>LE_BRA!C311</f>
        <v>7.5868040867001589</v>
      </c>
      <c r="D359" s="60">
        <f>LE_IND!C311</f>
        <v>7.4713535297122036</v>
      </c>
      <c r="E359" s="50">
        <f>LE_ZAF!C311</f>
        <v>7.2542968414161697</v>
      </c>
      <c r="G359" s="20" t="s">
        <v>760</v>
      </c>
      <c r="H359" s="47">
        <f>LE_BRA!AD311</f>
        <v>7.5463437428092295</v>
      </c>
      <c r="I359" s="60">
        <f>LE_IND!AD311</f>
        <v>7.4254692911583522</v>
      </c>
      <c r="J359" s="50">
        <f>LE_ZAF!AD311</f>
        <v>7.1887791546163617</v>
      </c>
      <c r="L359" s="20" t="s">
        <v>1160</v>
      </c>
      <c r="M359" s="47">
        <f t="shared" si="5"/>
        <v>4.0460343890929451E-2</v>
      </c>
      <c r="N359" s="60">
        <f t="shared" si="5"/>
        <v>4.5884238553851375E-2</v>
      </c>
      <c r="O359" s="50">
        <f t="shared" si="5"/>
        <v>6.5517686799807962E-2</v>
      </c>
    </row>
    <row r="360" spans="2:15" x14ac:dyDescent="0.3">
      <c r="B360" s="20" t="s">
        <v>361</v>
      </c>
      <c r="C360" s="47">
        <f>LE_BRA!C312</f>
        <v>7.4724002700563368</v>
      </c>
      <c r="D360" s="60">
        <f>LE_IND!C312</f>
        <v>7.3218101470241121</v>
      </c>
      <c r="E360" s="50">
        <f>LE_ZAF!C312</f>
        <v>7.054246850263322</v>
      </c>
      <c r="G360" s="20" t="s">
        <v>761</v>
      </c>
      <c r="H360" s="47">
        <f>LE_BRA!AD312</f>
        <v>7.4248749936294107</v>
      </c>
      <c r="I360" s="60">
        <f>LE_IND!AD312</f>
        <v>7.2668995761812836</v>
      </c>
      <c r="J360" s="50">
        <f>LE_ZAF!AD312</f>
        <v>6.9753894436479804</v>
      </c>
      <c r="L360" s="20" t="s">
        <v>1161</v>
      </c>
      <c r="M360" s="47">
        <f t="shared" si="5"/>
        <v>4.7525276426926055E-2</v>
      </c>
      <c r="N360" s="60">
        <f t="shared" si="5"/>
        <v>5.4910570842828577E-2</v>
      </c>
      <c r="O360" s="50">
        <f t="shared" si="5"/>
        <v>7.8857406615341574E-2</v>
      </c>
    </row>
    <row r="361" spans="2:15" x14ac:dyDescent="0.3">
      <c r="B361" s="20" t="s">
        <v>362</v>
      </c>
      <c r="C361" s="47">
        <f>LE_BRA!C313</f>
        <v>7.3353944282222976</v>
      </c>
      <c r="D361" s="60">
        <f>LE_IND!C313</f>
        <v>7.1400643508198769</v>
      </c>
      <c r="E361" s="50">
        <f>LE_ZAF!C313</f>
        <v>6.8221210378769346</v>
      </c>
      <c r="G361" s="20" t="s">
        <v>762</v>
      </c>
      <c r="H361" s="47">
        <f>LE_BRA!AD313</f>
        <v>7.2800077344946024</v>
      </c>
      <c r="I361" s="60">
        <f>LE_IND!AD313</f>
        <v>7.0747793808016475</v>
      </c>
      <c r="J361" s="50">
        <f>LE_ZAF!AD313</f>
        <v>6.7290624249061564</v>
      </c>
      <c r="L361" s="20" t="s">
        <v>1162</v>
      </c>
      <c r="M361" s="47">
        <f t="shared" si="5"/>
        <v>5.5386693727695224E-2</v>
      </c>
      <c r="N361" s="60">
        <f t="shared" si="5"/>
        <v>6.5284970018229416E-2</v>
      </c>
      <c r="O361" s="50">
        <f t="shared" si="5"/>
        <v>9.3058612970778221E-2</v>
      </c>
    </row>
    <row r="362" spans="2:15" x14ac:dyDescent="0.3">
      <c r="B362" s="20" t="s">
        <v>363</v>
      </c>
      <c r="C362" s="47">
        <f>LE_BRA!C314</f>
        <v>7.162597498510042</v>
      </c>
      <c r="D362" s="60">
        <f>LE_IND!C314</f>
        <v>6.9153236781713021</v>
      </c>
      <c r="E362" s="50">
        <f>LE_ZAF!C314</f>
        <v>6.556423917151621</v>
      </c>
      <c r="G362" s="20" t="s">
        <v>763</v>
      </c>
      <c r="H362" s="47">
        <f>LE_BRA!AD314</f>
        <v>7.0973832307015847</v>
      </c>
      <c r="I362" s="60">
        <f>LE_IND!AD314</f>
        <v>6.8376467748854193</v>
      </c>
      <c r="J362" s="50">
        <f>LE_ZAF!AD314</f>
        <v>6.4488237002050326</v>
      </c>
      <c r="L362" s="20" t="s">
        <v>1163</v>
      </c>
      <c r="M362" s="47">
        <f t="shared" si="5"/>
        <v>6.5214267808457294E-2</v>
      </c>
      <c r="N362" s="60">
        <f t="shared" si="5"/>
        <v>7.7676903285882837E-2</v>
      </c>
      <c r="O362" s="50">
        <f t="shared" si="5"/>
        <v>0.10760021694658839</v>
      </c>
    </row>
    <row r="363" spans="2:15" x14ac:dyDescent="0.3">
      <c r="B363" s="20" t="s">
        <v>364</v>
      </c>
      <c r="C363" s="47">
        <f>LE_BRA!C315</f>
        <v>6.9504544397137638</v>
      </c>
      <c r="D363" s="60">
        <f>LE_IND!C315</f>
        <v>6.6424177726631326</v>
      </c>
      <c r="E363" s="50">
        <f>LE_ZAF!C315</f>
        <v>6.2589685186200139</v>
      </c>
      <c r="G363" s="20" t="s">
        <v>764</v>
      </c>
      <c r="H363" s="47">
        <f>LE_BRA!AD315</f>
        <v>6.8736935788634526</v>
      </c>
      <c r="I363" s="60">
        <f>LE_IND!AD315</f>
        <v>6.5505597455842572</v>
      </c>
      <c r="J363" s="50">
        <f>LE_ZAF!AD315</f>
        <v>6.1375009010007719</v>
      </c>
      <c r="L363" s="20" t="s">
        <v>1164</v>
      </c>
      <c r="M363" s="47">
        <f t="shared" si="5"/>
        <v>7.6760860850311197E-2</v>
      </c>
      <c r="N363" s="60">
        <f t="shared" si="5"/>
        <v>9.1858027078875359E-2</v>
      </c>
      <c r="O363" s="50">
        <f t="shared" si="5"/>
        <v>0.12146761761924196</v>
      </c>
    </row>
    <row r="364" spans="2:15" x14ac:dyDescent="0.3">
      <c r="B364" s="20" t="s">
        <v>365</v>
      </c>
      <c r="C364" s="47">
        <f>LE_BRA!C316</f>
        <v>6.6926604446728541</v>
      </c>
      <c r="D364" s="60">
        <f>LE_IND!C316</f>
        <v>6.3144656888898192</v>
      </c>
      <c r="E364" s="50">
        <f>LE_ZAF!C316</f>
        <v>5.9279656629526265</v>
      </c>
      <c r="G364" s="20" t="s">
        <v>765</v>
      </c>
      <c r="H364" s="47">
        <f>LE_BRA!AD316</f>
        <v>6.6026750906417293</v>
      </c>
      <c r="I364" s="60">
        <f>LE_IND!AD316</f>
        <v>6.2068144193248393</v>
      </c>
      <c r="J364" s="50">
        <f>LE_ZAF!AD316</f>
        <v>5.794024170095601</v>
      </c>
      <c r="L364" s="20" t="s">
        <v>1165</v>
      </c>
      <c r="M364" s="47">
        <f t="shared" si="5"/>
        <v>8.9985354031124842E-2</v>
      </c>
      <c r="N364" s="60">
        <f t="shared" si="5"/>
        <v>0.10765126956497983</v>
      </c>
      <c r="O364" s="50">
        <f t="shared" si="5"/>
        <v>0.1339414928570255</v>
      </c>
    </row>
    <row r="365" spans="2:15" x14ac:dyDescent="0.3">
      <c r="B365" s="20" t="s">
        <v>366</v>
      </c>
      <c r="C365" s="47">
        <f>LE_BRA!C317</f>
        <v>6.3838964106373073</v>
      </c>
      <c r="D365" s="60">
        <f>LE_IND!C317</f>
        <v>5.9241940474603565</v>
      </c>
      <c r="E365" s="50">
        <f>LE_ZAF!C317</f>
        <v>5.5489229241640778</v>
      </c>
      <c r="G365" s="20" t="s">
        <v>766</v>
      </c>
      <c r="H365" s="47">
        <f>LE_BRA!AD317</f>
        <v>6.2793332004413722</v>
      </c>
      <c r="I365" s="60">
        <f>LE_IND!AD317</f>
        <v>5.7994154555059128</v>
      </c>
      <c r="J365" s="50">
        <f>LE_ZAF!AD317</f>
        <v>5.403266296819691</v>
      </c>
      <c r="L365" s="20" t="s">
        <v>1166</v>
      </c>
      <c r="M365" s="47">
        <f t="shared" si="5"/>
        <v>0.10456321019593506</v>
      </c>
      <c r="N365" s="60">
        <f t="shared" si="5"/>
        <v>0.12477859195444374</v>
      </c>
      <c r="O365" s="50">
        <f t="shared" si="5"/>
        <v>0.14565662734438689</v>
      </c>
    </row>
    <row r="366" spans="2:15" x14ac:dyDescent="0.3">
      <c r="B366" s="20" t="s">
        <v>367</v>
      </c>
      <c r="C366" s="47">
        <f>LE_BRA!C318</f>
        <v>6.0213611621465288</v>
      </c>
      <c r="D366" s="60">
        <f>LE_IND!C318</f>
        <v>5.4740922506950813</v>
      </c>
      <c r="E366" s="50">
        <f>LE_ZAF!C318</f>
        <v>5.1166614893585338</v>
      </c>
      <c r="G366" s="20" t="s">
        <v>767</v>
      </c>
      <c r="H366" s="47">
        <f>LE_BRA!AD318</f>
        <v>5.9016620658613412</v>
      </c>
      <c r="I366" s="60">
        <f>LE_IND!AD318</f>
        <v>5.3323633113339248</v>
      </c>
      <c r="J366" s="50">
        <f>LE_ZAF!AD318</f>
        <v>4.9606559340867467</v>
      </c>
      <c r="L366" s="20" t="s">
        <v>1167</v>
      </c>
      <c r="M366" s="47">
        <f t="shared" si="5"/>
        <v>0.1196990962851876</v>
      </c>
      <c r="N366" s="60">
        <f t="shared" si="5"/>
        <v>0.14172893936115649</v>
      </c>
      <c r="O366" s="50">
        <f t="shared" si="5"/>
        <v>0.15600555527178717</v>
      </c>
    </row>
    <row r="367" spans="2:15" x14ac:dyDescent="0.3">
      <c r="B367" s="20" t="s">
        <v>368</v>
      </c>
      <c r="C367" s="47">
        <f>LE_BRA!C319</f>
        <v>5.5983231439314309</v>
      </c>
      <c r="D367" s="60">
        <f>LE_IND!C319</f>
        <v>4.9697799820297792</v>
      </c>
      <c r="E367" s="50">
        <f>LE_ZAF!C319</f>
        <v>4.6237542670223197</v>
      </c>
      <c r="G367" s="20" t="s">
        <v>768</v>
      </c>
      <c r="H367" s="47">
        <f>LE_BRA!AD319</f>
        <v>5.4633817222501033</v>
      </c>
      <c r="I367" s="60">
        <f>LE_IND!AD319</f>
        <v>4.8130846273415742</v>
      </c>
      <c r="J367" s="50">
        <f>LE_ZAF!AD319</f>
        <v>4.4592067703912051</v>
      </c>
      <c r="L367" s="20" t="s">
        <v>1168</v>
      </c>
      <c r="M367" s="47">
        <f t="shared" si="5"/>
        <v>0.13494142168132761</v>
      </c>
      <c r="N367" s="60">
        <f t="shared" si="5"/>
        <v>0.15669535468820506</v>
      </c>
      <c r="O367" s="50">
        <f t="shared" si="5"/>
        <v>0.16454749663111468</v>
      </c>
    </row>
    <row r="368" spans="2:15" x14ac:dyDescent="0.3">
      <c r="B368" s="20" t="s">
        <v>369</v>
      </c>
      <c r="C368" s="47">
        <f>LE_BRA!C320</f>
        <v>5.1124700501949158</v>
      </c>
      <c r="D368" s="60">
        <f>LE_IND!C320</f>
        <v>4.4109603340803778</v>
      </c>
      <c r="E368" s="50">
        <f>LE_ZAF!C320</f>
        <v>4.0679743993833908</v>
      </c>
      <c r="G368" s="20" t="s">
        <v>769</v>
      </c>
      <c r="H368" s="47">
        <f>LE_BRA!AD320</f>
        <v>4.9632160346844607</v>
      </c>
      <c r="I368" s="60">
        <f>LE_IND!AD320</f>
        <v>4.242204156950252</v>
      </c>
      <c r="J368" s="50">
        <f>LE_ZAF!AD320</f>
        <v>3.8975283014474145</v>
      </c>
      <c r="L368" s="20" t="s">
        <v>1169</v>
      </c>
      <c r="M368" s="47">
        <f t="shared" si="5"/>
        <v>0.14925401551045514</v>
      </c>
      <c r="N368" s="60">
        <f t="shared" si="5"/>
        <v>0.16875617713012581</v>
      </c>
      <c r="O368" s="50">
        <f t="shared" si="5"/>
        <v>0.17044609793597632</v>
      </c>
    </row>
    <row r="369" spans="2:15" x14ac:dyDescent="0.3">
      <c r="B369" s="20" t="s">
        <v>370</v>
      </c>
      <c r="C369" s="47">
        <f>LE_BRA!C321</f>
        <v>4.5696056669676057</v>
      </c>
      <c r="D369" s="60">
        <f>LE_IND!C321</f>
        <v>3.8075880810838965</v>
      </c>
      <c r="E369" s="50">
        <f>LE_ZAF!C321</f>
        <v>3.4647138671087956</v>
      </c>
      <c r="G369" s="20" t="s">
        <v>770</v>
      </c>
      <c r="H369" s="47">
        <f>LE_BRA!AD321</f>
        <v>4.4088321353242499</v>
      </c>
      <c r="I369" s="60">
        <f>LE_IND!AD321</f>
        <v>3.6311295552338674</v>
      </c>
      <c r="J369" s="50">
        <f>LE_ZAF!AD321</f>
        <v>3.2931519988370646</v>
      </c>
      <c r="L369" s="20" t="s">
        <v>1170</v>
      </c>
      <c r="M369" s="47">
        <f t="shared" si="5"/>
        <v>0.16077353164335584</v>
      </c>
      <c r="N369" s="60">
        <f t="shared" si="5"/>
        <v>0.17645852585002908</v>
      </c>
      <c r="O369" s="50">
        <f t="shared" si="5"/>
        <v>0.17156186827173103</v>
      </c>
    </row>
    <row r="370" spans="2:15" x14ac:dyDescent="0.3">
      <c r="B370" s="20" t="s">
        <v>371</v>
      </c>
      <c r="C370" s="47">
        <f>LE_BRA!C322</f>
        <v>3.9744019523894911</v>
      </c>
      <c r="D370" s="60">
        <f>LE_IND!C322</f>
        <v>3.1907994511331146</v>
      </c>
      <c r="E370" s="50">
        <f>LE_ZAF!C322</f>
        <v>2.8364923326665497</v>
      </c>
      <c r="G370" s="20" t="s">
        <v>771</v>
      </c>
      <c r="H370" s="47">
        <f>LE_BRA!AD322</f>
        <v>3.8063621507969994</v>
      </c>
      <c r="I370" s="60">
        <f>LE_IND!AD322</f>
        <v>3.0133783096531324</v>
      </c>
      <c r="J370" s="50">
        <f>LE_ZAF!AD322</f>
        <v>2.6704269455272516</v>
      </c>
      <c r="L370" s="20" t="s">
        <v>1171</v>
      </c>
      <c r="M370" s="47">
        <f t="shared" si="5"/>
        <v>0.16803980159249177</v>
      </c>
      <c r="N370" s="60">
        <f t="shared" si="5"/>
        <v>0.17742114147998223</v>
      </c>
      <c r="O370" s="50">
        <f t="shared" si="5"/>
        <v>0.16606538713929808</v>
      </c>
    </row>
    <row r="371" spans="2:15" x14ac:dyDescent="0.3">
      <c r="B371" s="20" t="s">
        <v>372</v>
      </c>
      <c r="C371" s="47">
        <f>LE_BRA!C323</f>
        <v>3.0758777491118106</v>
      </c>
      <c r="D371" s="60">
        <f>LE_IND!C323</f>
        <v>2.3378879958025895</v>
      </c>
      <c r="E371" s="50">
        <f>LE_ZAF!C323</f>
        <v>1.9440484489276162</v>
      </c>
      <c r="G371" s="20" t="s">
        <v>772</v>
      </c>
      <c r="H371" s="47">
        <f>LE_BRA!AD323</f>
        <v>2.9076512047929648</v>
      </c>
      <c r="I371" s="60">
        <f>LE_IND!AD323</f>
        <v>2.1707088377712567</v>
      </c>
      <c r="J371" s="50">
        <f>LE_ZAF!AD323</f>
        <v>1.7966237148076329</v>
      </c>
      <c r="L371" s="20" t="s">
        <v>1172</v>
      </c>
      <c r="M371" s="47">
        <f t="shared" si="5"/>
        <v>0.16822654431884576</v>
      </c>
      <c r="N371" s="60">
        <f t="shared" si="5"/>
        <v>0.16717915803133288</v>
      </c>
      <c r="O371" s="50">
        <f t="shared" si="5"/>
        <v>0.14742473411998325</v>
      </c>
    </row>
    <row r="372" spans="2:15" x14ac:dyDescent="0.3">
      <c r="B372" s="20" t="s">
        <v>373</v>
      </c>
      <c r="C372" s="47">
        <f>LE_BRA!C324</f>
        <v>7.470725473704559</v>
      </c>
      <c r="D372" s="60">
        <f>LE_IND!C324</f>
        <v>7.396097746682643</v>
      </c>
      <c r="E372" s="50">
        <f>LE_ZAF!C324</f>
        <v>7.2858724336220906</v>
      </c>
      <c r="G372" s="20" t="s">
        <v>773</v>
      </c>
      <c r="H372" s="47">
        <f>LE_BRA!AD324</f>
        <v>7.4501151931494833</v>
      </c>
      <c r="I372" s="60">
        <f>LE_IND!AD324</f>
        <v>7.3700636974905835</v>
      </c>
      <c r="J372" s="50">
        <f>LE_ZAF!AD324</f>
        <v>7.2494661569540257</v>
      </c>
      <c r="L372" s="20" t="s">
        <v>1173</v>
      </c>
      <c r="M372" s="47">
        <f t="shared" si="5"/>
        <v>2.0610280555075633E-2</v>
      </c>
      <c r="N372" s="60">
        <f t="shared" si="5"/>
        <v>2.6034049192059427E-2</v>
      </c>
      <c r="O372" s="50">
        <f t="shared" si="5"/>
        <v>3.6406276668064841E-2</v>
      </c>
    </row>
    <row r="373" spans="2:15" x14ac:dyDescent="0.3">
      <c r="B373" s="20" t="s">
        <v>374</v>
      </c>
      <c r="C373" s="47">
        <f>LE_BRA!C325</f>
        <v>7.4093395853203576</v>
      </c>
      <c r="D373" s="60">
        <f>LE_IND!C325</f>
        <v>7.3326245191551047</v>
      </c>
      <c r="E373" s="50">
        <f>LE_ZAF!C325</f>
        <v>7.2011037309783061</v>
      </c>
      <c r="G373" s="20" t="s">
        <v>774</v>
      </c>
      <c r="H373" s="47">
        <f>LE_BRA!AD325</f>
        <v>7.3842928836665784</v>
      </c>
      <c r="I373" s="60">
        <f>LE_IND!AD325</f>
        <v>7.3031667559245435</v>
      </c>
      <c r="J373" s="50">
        <f>LE_ZAF!AD325</f>
        <v>7.1595873739249818</v>
      </c>
      <c r="L373" s="20" t="s">
        <v>1174</v>
      </c>
      <c r="M373" s="47">
        <f t="shared" si="5"/>
        <v>2.5046701653779202E-2</v>
      </c>
      <c r="N373" s="60">
        <f t="shared" si="5"/>
        <v>2.9457763230561262E-2</v>
      </c>
      <c r="O373" s="50">
        <f t="shared" si="5"/>
        <v>4.1516357053324349E-2</v>
      </c>
    </row>
    <row r="374" spans="2:15" x14ac:dyDescent="0.3">
      <c r="B374" s="20" t="s">
        <v>375</v>
      </c>
      <c r="C374" s="47">
        <f>LE_BRA!C326</f>
        <v>7.3275107290117596</v>
      </c>
      <c r="D374" s="60">
        <f>LE_IND!C326</f>
        <v>7.2378791399310876</v>
      </c>
      <c r="E374" s="50">
        <f>LE_ZAF!C326</f>
        <v>7.074487646892397</v>
      </c>
      <c r="G374" s="20" t="s">
        <v>775</v>
      </c>
      <c r="H374" s="47">
        <f>LE_BRA!AD326</f>
        <v>7.2963204970366657</v>
      </c>
      <c r="I374" s="60">
        <f>LE_IND!AD326</f>
        <v>7.2021727630126353</v>
      </c>
      <c r="J374" s="50">
        <f>LE_ZAF!AD326</f>
        <v>7.0239533309427875</v>
      </c>
      <c r="L374" s="20" t="s">
        <v>1175</v>
      </c>
      <c r="M374" s="47">
        <f t="shared" si="5"/>
        <v>3.1190231975093852E-2</v>
      </c>
      <c r="N374" s="60">
        <f t="shared" si="5"/>
        <v>3.5706376918452243E-2</v>
      </c>
      <c r="O374" s="50">
        <f t="shared" si="5"/>
        <v>5.0534315949609443E-2</v>
      </c>
    </row>
    <row r="375" spans="2:15" x14ac:dyDescent="0.3">
      <c r="B375" s="20" t="s">
        <v>376</v>
      </c>
      <c r="C375" s="47">
        <f>LE_BRA!C327</f>
        <v>7.2304321840111472</v>
      </c>
      <c r="D375" s="60">
        <f>LE_IND!C327</f>
        <v>7.1192601647345786</v>
      </c>
      <c r="E375" s="50">
        <f>LE_ZAF!C327</f>
        <v>6.9149938510700997</v>
      </c>
      <c r="G375" s="20" t="s">
        <v>776</v>
      </c>
      <c r="H375" s="47">
        <f>LE_BRA!AD327</f>
        <v>7.1923833645297321</v>
      </c>
      <c r="I375" s="60">
        <f>LE_IND!AD327</f>
        <v>7.0758686277408112</v>
      </c>
      <c r="J375" s="50">
        <f>LE_ZAF!AD327</f>
        <v>6.8531886666308495</v>
      </c>
      <c r="L375" s="20" t="s">
        <v>1176</v>
      </c>
      <c r="M375" s="47">
        <f t="shared" si="5"/>
        <v>3.804881948141503E-2</v>
      </c>
      <c r="N375" s="60">
        <f t="shared" si="5"/>
        <v>4.339153699376741E-2</v>
      </c>
      <c r="O375" s="50">
        <f t="shared" si="5"/>
        <v>6.1805184439250205E-2</v>
      </c>
    </row>
    <row r="376" spans="2:15" x14ac:dyDescent="0.3">
      <c r="B376" s="20" t="s">
        <v>377</v>
      </c>
      <c r="C376" s="47">
        <f>LE_BRA!C328</f>
        <v>7.1221389422805093</v>
      </c>
      <c r="D376" s="60">
        <f>LE_IND!C328</f>
        <v>6.9774854843570733</v>
      </c>
      <c r="E376" s="50">
        <f>LE_ZAF!C328</f>
        <v>6.7256040538582136</v>
      </c>
      <c r="G376" s="20" t="s">
        <v>777</v>
      </c>
      <c r="H376" s="47">
        <f>LE_BRA!AD328</f>
        <v>7.0774056916445405</v>
      </c>
      <c r="I376" s="60">
        <f>LE_IND!AD328</f>
        <v>6.9255349198340879</v>
      </c>
      <c r="J376" s="50">
        <f>LE_ZAF!AD328</f>
        <v>6.6511900132101367</v>
      </c>
      <c r="L376" s="20" t="s">
        <v>1177</v>
      </c>
      <c r="M376" s="47">
        <f t="shared" si="5"/>
        <v>4.473325063596878E-2</v>
      </c>
      <c r="N376" s="60">
        <f t="shared" si="5"/>
        <v>5.195056452298541E-2</v>
      </c>
      <c r="O376" s="50">
        <f t="shared" si="5"/>
        <v>7.4414040648076885E-2</v>
      </c>
    </row>
    <row r="377" spans="2:15" x14ac:dyDescent="0.3">
      <c r="B377" s="20" t="s">
        <v>378</v>
      </c>
      <c r="C377" s="47">
        <f>LE_BRA!C329</f>
        <v>6.9923480096053012</v>
      </c>
      <c r="D377" s="60">
        <f>LE_IND!C329</f>
        <v>6.8051388947789064</v>
      </c>
      <c r="E377" s="50">
        <f>LE_ZAF!C329</f>
        <v>6.5055273657073016</v>
      </c>
      <c r="G377" s="20" t="s">
        <v>778</v>
      </c>
      <c r="H377" s="47">
        <f>LE_BRA!AD329</f>
        <v>6.9401652440147714</v>
      </c>
      <c r="I377" s="60">
        <f>LE_IND!AD329</f>
        <v>6.7433464867918538</v>
      </c>
      <c r="J377" s="50">
        <f>LE_ZAF!AD329</f>
        <v>6.4176588623635125</v>
      </c>
      <c r="L377" s="20" t="s">
        <v>1178</v>
      </c>
      <c r="M377" s="47">
        <f t="shared" si="5"/>
        <v>5.2182765590529812E-2</v>
      </c>
      <c r="N377" s="60">
        <f t="shared" si="5"/>
        <v>6.1792407987052655E-2</v>
      </c>
      <c r="O377" s="50">
        <f t="shared" si="5"/>
        <v>8.7868503343789151E-2</v>
      </c>
    </row>
    <row r="378" spans="2:15" x14ac:dyDescent="0.3">
      <c r="B378" s="20" t="s">
        <v>379</v>
      </c>
      <c r="C378" s="47">
        <f>LE_BRA!C330</f>
        <v>6.8286829055086633</v>
      </c>
      <c r="D378" s="60">
        <f>LE_IND!C330</f>
        <v>6.5919892132967632</v>
      </c>
      <c r="E378" s="50">
        <f>LE_ZAF!C330</f>
        <v>6.2531501789022839</v>
      </c>
      <c r="G378" s="20" t="s">
        <v>779</v>
      </c>
      <c r="H378" s="47">
        <f>LE_BRA!AD330</f>
        <v>6.7671933199890599</v>
      </c>
      <c r="I378" s="60">
        <f>LE_IND!AD330</f>
        <v>6.518438184144479</v>
      </c>
      <c r="J378" s="50">
        <f>LE_ZAF!AD330</f>
        <v>6.1514567966966096</v>
      </c>
      <c r="L378" s="20" t="s">
        <v>1179</v>
      </c>
      <c r="M378" s="47">
        <f t="shared" si="5"/>
        <v>6.1489585519603374E-2</v>
      </c>
      <c r="N378" s="60">
        <f t="shared" si="5"/>
        <v>7.3551029152284286E-2</v>
      </c>
      <c r="O378" s="50">
        <f t="shared" si="5"/>
        <v>0.10169338220567425</v>
      </c>
    </row>
    <row r="379" spans="2:15" x14ac:dyDescent="0.3">
      <c r="B379" s="20" t="s">
        <v>380</v>
      </c>
      <c r="C379" s="47">
        <f>LE_BRA!C331</f>
        <v>6.627694582485498</v>
      </c>
      <c r="D379" s="60">
        <f>LE_IND!C331</f>
        <v>6.3330616714769761</v>
      </c>
      <c r="E379" s="50">
        <f>LE_ZAF!C331</f>
        <v>5.9700606211803589</v>
      </c>
      <c r="G379" s="20" t="s">
        <v>780</v>
      </c>
      <c r="H379" s="47">
        <f>LE_BRA!AD331</f>
        <v>6.5552659177812282</v>
      </c>
      <c r="I379" s="60">
        <f>LE_IND!AD331</f>
        <v>6.2460440552427068</v>
      </c>
      <c r="J379" s="50">
        <f>LE_ZAF!AD331</f>
        <v>5.8551259733378727</v>
      </c>
      <c r="L379" s="20" t="s">
        <v>1180</v>
      </c>
      <c r="M379" s="47">
        <f t="shared" si="5"/>
        <v>7.2428664704269785E-2</v>
      </c>
      <c r="N379" s="60">
        <f t="shared" si="5"/>
        <v>8.701761623426929E-2</v>
      </c>
      <c r="O379" s="50">
        <f t="shared" si="5"/>
        <v>0.11493464784248619</v>
      </c>
    </row>
    <row r="380" spans="2:15" x14ac:dyDescent="0.3">
      <c r="B380" s="20" t="s">
        <v>381</v>
      </c>
      <c r="C380" s="47">
        <f>LE_BRA!C332</f>
        <v>6.3833558553513186</v>
      </c>
      <c r="D380" s="60">
        <f>LE_IND!C332</f>
        <v>6.0217697641192736</v>
      </c>
      <c r="E380" s="50">
        <f>LE_ZAF!C332</f>
        <v>5.6545358537015016</v>
      </c>
      <c r="G380" s="20" t="s">
        <v>781</v>
      </c>
      <c r="H380" s="47">
        <f>LE_BRA!AD332</f>
        <v>6.2983902084684589</v>
      </c>
      <c r="I380" s="60">
        <f>LE_IND!AD332</f>
        <v>5.9197403168323541</v>
      </c>
      <c r="J380" s="50">
        <f>LE_ZAF!AD332</f>
        <v>5.5276296129166047</v>
      </c>
      <c r="L380" s="20" t="s">
        <v>1181</v>
      </c>
      <c r="M380" s="47">
        <f t="shared" si="5"/>
        <v>8.496564688285968E-2</v>
      </c>
      <c r="N380" s="60">
        <f t="shared" si="5"/>
        <v>0.10202944728691943</v>
      </c>
      <c r="O380" s="50">
        <f t="shared" si="5"/>
        <v>0.12690624078489687</v>
      </c>
    </row>
    <row r="381" spans="2:15" x14ac:dyDescent="0.3">
      <c r="B381" s="20" t="s">
        <v>382</v>
      </c>
      <c r="C381" s="47">
        <f>LE_BRA!C333</f>
        <v>6.0905435158220547</v>
      </c>
      <c r="D381" s="60">
        <f>LE_IND!C333</f>
        <v>5.6511818515877463</v>
      </c>
      <c r="E381" s="50">
        <f>LE_ZAF!C333</f>
        <v>5.2930437438825875</v>
      </c>
      <c r="G381" s="20" t="s">
        <v>782</v>
      </c>
      <c r="H381" s="47">
        <f>LE_BRA!AD333</f>
        <v>5.9917441945407921</v>
      </c>
      <c r="I381" s="60">
        <f>LE_IND!AD333</f>
        <v>5.532859087260845</v>
      </c>
      <c r="J381" s="50">
        <f>LE_ZAF!AD333</f>
        <v>5.1548636351927053</v>
      </c>
      <c r="L381" s="20" t="s">
        <v>1182</v>
      </c>
      <c r="M381" s="47">
        <f t="shared" si="5"/>
        <v>9.8799321281262564E-2</v>
      </c>
      <c r="N381" s="60">
        <f t="shared" si="5"/>
        <v>0.11832276432690136</v>
      </c>
      <c r="O381" s="50">
        <f t="shared" si="5"/>
        <v>0.13818010868988218</v>
      </c>
    </row>
    <row r="382" spans="2:15" x14ac:dyDescent="0.3">
      <c r="B382" s="20" t="s">
        <v>383</v>
      </c>
      <c r="C382" s="47">
        <f>LE_BRA!C334</f>
        <v>5.7464561207490519</v>
      </c>
      <c r="D382" s="60">
        <f>LE_IND!C334</f>
        <v>5.2235118746313498</v>
      </c>
      <c r="E382" s="50">
        <f>LE_ZAF!C334</f>
        <v>4.8807315639651847</v>
      </c>
      <c r="G382" s="20" t="s">
        <v>783</v>
      </c>
      <c r="H382" s="47">
        <f>LE_BRA!AD334</f>
        <v>5.6332690320812446</v>
      </c>
      <c r="I382" s="60">
        <f>LE_IND!AD334</f>
        <v>5.0890384218518445</v>
      </c>
      <c r="J382" s="50">
        <f>LE_ZAF!AD334</f>
        <v>4.7325642370353433</v>
      </c>
      <c r="L382" s="20" t="s">
        <v>1183</v>
      </c>
      <c r="M382" s="47">
        <f t="shared" si="5"/>
        <v>0.11318708866780725</v>
      </c>
      <c r="N382" s="60">
        <f t="shared" si="5"/>
        <v>0.13447345277950529</v>
      </c>
      <c r="O382" s="50">
        <f t="shared" si="5"/>
        <v>0.14816732692984136</v>
      </c>
    </row>
    <row r="383" spans="2:15" x14ac:dyDescent="0.3">
      <c r="B383" s="20" t="s">
        <v>384</v>
      </c>
      <c r="C383" s="47">
        <f>LE_BRA!C335</f>
        <v>5.344586985190813</v>
      </c>
      <c r="D383" s="60">
        <f>LE_IND!C335</f>
        <v>4.7439106692502353</v>
      </c>
      <c r="E383" s="50">
        <f>LE_ZAF!C335</f>
        <v>4.4106487370859879</v>
      </c>
      <c r="G383" s="20" t="s">
        <v>784</v>
      </c>
      <c r="H383" s="47">
        <f>LE_BRA!AD335</f>
        <v>5.2168808412413687</v>
      </c>
      <c r="I383" s="60">
        <f>LE_IND!AD335</f>
        <v>4.5951349779901198</v>
      </c>
      <c r="J383" s="50">
        <f>LE_ZAF!AD335</f>
        <v>4.2542142064594799</v>
      </c>
      <c r="L383" s="20" t="s">
        <v>1184</v>
      </c>
      <c r="M383" s="47">
        <f t="shared" si="5"/>
        <v>0.12770614394944424</v>
      </c>
      <c r="N383" s="60">
        <f t="shared" si="5"/>
        <v>0.14877569126011547</v>
      </c>
      <c r="O383" s="50">
        <f t="shared" si="5"/>
        <v>0.15643453062650803</v>
      </c>
    </row>
    <row r="384" spans="2:15" x14ac:dyDescent="0.3">
      <c r="B384" s="20" t="s">
        <v>385</v>
      </c>
      <c r="C384" s="47">
        <f>LE_BRA!C336</f>
        <v>4.8825268084832665</v>
      </c>
      <c r="D384" s="60">
        <f>LE_IND!C336</f>
        <v>4.2120256256631663</v>
      </c>
      <c r="E384" s="50">
        <f>LE_ZAF!C336</f>
        <v>3.8807734695055998</v>
      </c>
      <c r="G384" s="20" t="s">
        <v>785</v>
      </c>
      <c r="H384" s="47">
        <f>LE_BRA!AD336</f>
        <v>4.7411435010860519</v>
      </c>
      <c r="I384" s="60">
        <f>LE_IND!AD336</f>
        <v>4.0516790722014884</v>
      </c>
      <c r="J384" s="50">
        <f>LE_ZAF!AD336</f>
        <v>3.718600432477726</v>
      </c>
      <c r="L384" s="20" t="s">
        <v>1185</v>
      </c>
      <c r="M384" s="47">
        <f t="shared" si="5"/>
        <v>0.14138330739721461</v>
      </c>
      <c r="N384" s="60">
        <f t="shared" si="5"/>
        <v>0.16034655346167792</v>
      </c>
      <c r="O384" s="50">
        <f t="shared" si="5"/>
        <v>0.16217303702787378</v>
      </c>
    </row>
    <row r="385" spans="2:15" x14ac:dyDescent="0.3">
      <c r="B385" s="20" t="s">
        <v>386</v>
      </c>
      <c r="C385" s="47">
        <f>LE_BRA!C337</f>
        <v>4.3654962595964637</v>
      </c>
      <c r="D385" s="60">
        <f>LE_IND!C337</f>
        <v>3.6371825889781313</v>
      </c>
      <c r="E385" s="50">
        <f>LE_ZAF!C337</f>
        <v>3.3057225445784204</v>
      </c>
      <c r="G385" s="20" t="s">
        <v>786</v>
      </c>
      <c r="H385" s="47">
        <f>LE_BRA!AD337</f>
        <v>4.2130364607039601</v>
      </c>
      <c r="I385" s="60">
        <f>LE_IND!AD337</f>
        <v>3.4693849349781587</v>
      </c>
      <c r="J385" s="50">
        <f>LE_ZAF!AD337</f>
        <v>3.1423764837247008</v>
      </c>
      <c r="L385" s="20" t="s">
        <v>1186</v>
      </c>
      <c r="M385" s="47">
        <f t="shared" si="5"/>
        <v>0.15245979889250361</v>
      </c>
      <c r="N385" s="60">
        <f t="shared" si="5"/>
        <v>0.1677976539999726</v>
      </c>
      <c r="O385" s="50">
        <f t="shared" si="5"/>
        <v>0.16334606085371961</v>
      </c>
    </row>
    <row r="386" spans="2:15" x14ac:dyDescent="0.3">
      <c r="B386" s="20" t="s">
        <v>387</v>
      </c>
      <c r="C386" s="47">
        <f>LE_BRA!C338</f>
        <v>3.7978978185617791</v>
      </c>
      <c r="D386" s="60">
        <f>LE_IND!C338</f>
        <v>3.048858917822757</v>
      </c>
      <c r="E386" s="50">
        <f>LE_ZAF!C338</f>
        <v>2.7069053839296773</v>
      </c>
      <c r="G386" s="20" t="s">
        <v>787</v>
      </c>
      <c r="H386" s="47">
        <f>LE_BRA!AD338</f>
        <v>3.638371030067229</v>
      </c>
      <c r="I386" s="60">
        <f>LE_IND!AD338</f>
        <v>2.8800131263460589</v>
      </c>
      <c r="J386" s="50">
        <f>LE_ZAF!AD338</f>
        <v>2.5486956123457722</v>
      </c>
      <c r="L386" s="20" t="s">
        <v>1187</v>
      </c>
      <c r="M386" s="47">
        <f t="shared" si="5"/>
        <v>0.15952678849455015</v>
      </c>
      <c r="N386" s="60">
        <f t="shared" si="5"/>
        <v>0.16884579147669809</v>
      </c>
      <c r="O386" s="50">
        <f t="shared" si="5"/>
        <v>0.15820977158390503</v>
      </c>
    </row>
    <row r="387" spans="2:15" x14ac:dyDescent="0.3">
      <c r="B387" s="20" t="s">
        <v>388</v>
      </c>
      <c r="C387" s="47">
        <f>LE_BRA!C339</f>
        <v>2.9398427985011275</v>
      </c>
      <c r="D387" s="60">
        <f>LE_IND!C339</f>
        <v>2.2341834957566764</v>
      </c>
      <c r="E387" s="50">
        <f>LE_ZAF!C339</f>
        <v>1.8562005778583455</v>
      </c>
      <c r="G387" s="20" t="s">
        <v>788</v>
      </c>
      <c r="H387" s="47">
        <f>LE_BRA!AD339</f>
        <v>2.7799163892740277</v>
      </c>
      <c r="I387" s="60">
        <f>LE_IND!AD339</f>
        <v>2.0749221427180964</v>
      </c>
      <c r="J387" s="50">
        <f>LE_ZAF!AD339</f>
        <v>1.7156233802037386</v>
      </c>
      <c r="L387" s="20" t="s">
        <v>1188</v>
      </c>
      <c r="M387" s="47">
        <f t="shared" si="5"/>
        <v>0.15992640922709978</v>
      </c>
      <c r="N387" s="60">
        <f t="shared" si="5"/>
        <v>0.15926135303858002</v>
      </c>
      <c r="O387" s="50">
        <f t="shared" si="5"/>
        <v>0.14057719765460686</v>
      </c>
    </row>
    <row r="388" spans="2:15" x14ac:dyDescent="0.3">
      <c r="B388" s="20" t="s">
        <v>389</v>
      </c>
      <c r="C388" s="47">
        <f>LE_BRA!C340</f>
        <v>7.1176013029505967</v>
      </c>
      <c r="D388" s="60">
        <f>LE_IND!C340</f>
        <v>7.0463778946788107</v>
      </c>
      <c r="E388" s="50">
        <f>LE_ZAF!C340</f>
        <v>6.9426384576492159</v>
      </c>
      <c r="G388" s="20" t="s">
        <v>789</v>
      </c>
      <c r="H388" s="47">
        <f>LE_BRA!AD340</f>
        <v>7.098245208712151</v>
      </c>
      <c r="I388" s="60">
        <f>LE_IND!AD340</f>
        <v>7.0218296498068895</v>
      </c>
      <c r="J388" s="50">
        <f>LE_ZAF!AD340</f>
        <v>6.9083541750114552</v>
      </c>
      <c r="L388" s="20" t="s">
        <v>1189</v>
      </c>
      <c r="M388" s="47">
        <f t="shared" si="5"/>
        <v>1.9356094238445642E-2</v>
      </c>
      <c r="N388" s="60">
        <f t="shared" si="5"/>
        <v>2.4548244871921199E-2</v>
      </c>
      <c r="O388" s="50">
        <f t="shared" si="5"/>
        <v>3.4284282637760732E-2</v>
      </c>
    </row>
    <row r="389" spans="2:15" x14ac:dyDescent="0.3">
      <c r="B389" s="20" t="s">
        <v>390</v>
      </c>
      <c r="C389" s="47">
        <f>LE_BRA!C341</f>
        <v>7.0596684980854212</v>
      </c>
      <c r="D389" s="60">
        <f>LE_IND!C341</f>
        <v>6.9859794540669151</v>
      </c>
      <c r="E389" s="50">
        <f>LE_ZAF!C341</f>
        <v>6.8622377260334666</v>
      </c>
      <c r="G389" s="20" t="s">
        <v>790</v>
      </c>
      <c r="H389" s="47">
        <f>LE_BRA!AD341</f>
        <v>7.0361363314434895</v>
      </c>
      <c r="I389" s="60">
        <f>LE_IND!AD341</f>
        <v>6.9581536590716935</v>
      </c>
      <c r="J389" s="50">
        <f>LE_ZAF!AD341</f>
        <v>6.8231031316036761</v>
      </c>
      <c r="L389" s="20" t="s">
        <v>1190</v>
      </c>
      <c r="M389" s="47">
        <f t="shared" si="5"/>
        <v>2.3532166641931695E-2</v>
      </c>
      <c r="N389" s="60">
        <f t="shared" si="5"/>
        <v>2.7825794995221642E-2</v>
      </c>
      <c r="O389" s="50">
        <f t="shared" si="5"/>
        <v>3.9134594429790504E-2</v>
      </c>
    </row>
    <row r="390" spans="2:15" x14ac:dyDescent="0.3">
      <c r="B390" s="20" t="s">
        <v>391</v>
      </c>
      <c r="C390" s="47">
        <f>LE_BRA!C342</f>
        <v>6.9824901911291102</v>
      </c>
      <c r="D390" s="60">
        <f>LE_IND!C342</f>
        <v>6.8961806145095785</v>
      </c>
      <c r="E390" s="50">
        <f>LE_ZAF!C342</f>
        <v>6.7424528348542516</v>
      </c>
      <c r="G390" s="20" t="s">
        <v>791</v>
      </c>
      <c r="H390" s="47">
        <f>LE_BRA!AD342</f>
        <v>6.9531803267541825</v>
      </c>
      <c r="I390" s="60">
        <f>LE_IND!AD342</f>
        <v>6.8624320574350275</v>
      </c>
      <c r="J390" s="50">
        <f>LE_ZAF!AD342</f>
        <v>6.6948009969127202</v>
      </c>
      <c r="L390" s="20" t="s">
        <v>1191</v>
      </c>
      <c r="M390" s="47">
        <f t="shared" si="5"/>
        <v>2.9309864374927663E-2</v>
      </c>
      <c r="N390" s="60">
        <f t="shared" si="5"/>
        <v>3.3748557074551044E-2</v>
      </c>
      <c r="O390" s="50">
        <f t="shared" si="5"/>
        <v>4.7651837941531383E-2</v>
      </c>
    </row>
    <row r="391" spans="2:15" x14ac:dyDescent="0.3">
      <c r="B391" s="20" t="s">
        <v>392</v>
      </c>
      <c r="C391" s="47">
        <f>LE_BRA!C343</f>
        <v>6.8908140536317504</v>
      </c>
      <c r="D391" s="60">
        <f>LE_IND!C343</f>
        <v>6.783770420883326</v>
      </c>
      <c r="E391" s="50">
        <f>LE_ZAF!C343</f>
        <v>6.5915728083621659</v>
      </c>
      <c r="G391" s="20" t="s">
        <v>792</v>
      </c>
      <c r="H391" s="47">
        <f>LE_BRA!AD343</f>
        <v>6.8550419246730483</v>
      </c>
      <c r="I391" s="60">
        <f>LE_IND!AD343</f>
        <v>6.7427400302529792</v>
      </c>
      <c r="J391" s="50">
        <f>LE_ZAF!AD343</f>
        <v>6.5332783568574966</v>
      </c>
      <c r="L391" s="20" t="s">
        <v>1192</v>
      </c>
      <c r="M391" s="47">
        <f t="shared" si="5"/>
        <v>3.5772128958702076E-2</v>
      </c>
      <c r="N391" s="60">
        <f t="shared" si="5"/>
        <v>4.1030390630346858E-2</v>
      </c>
      <c r="O391" s="50">
        <f t="shared" si="5"/>
        <v>5.8294451504669276E-2</v>
      </c>
    </row>
    <row r="392" spans="2:15" x14ac:dyDescent="0.3">
      <c r="B392" s="20" t="s">
        <v>393</v>
      </c>
      <c r="C392" s="47">
        <f>LE_BRA!C344</f>
        <v>6.7883126935398534</v>
      </c>
      <c r="D392" s="60">
        <f>LE_IND!C344</f>
        <v>6.6493668301213944</v>
      </c>
      <c r="E392" s="50">
        <f>LE_ZAF!C344</f>
        <v>6.4122852518005296</v>
      </c>
      <c r="G392" s="20" t="s">
        <v>793</v>
      </c>
      <c r="H392" s="47">
        <f>LE_BRA!AD344</f>
        <v>6.746217048743298</v>
      </c>
      <c r="I392" s="60">
        <f>LE_IND!AD344</f>
        <v>6.6002210953789975</v>
      </c>
      <c r="J392" s="50">
        <f>LE_ZAF!AD344</f>
        <v>6.3420740984747983</v>
      </c>
      <c r="L392" s="20" t="s">
        <v>1193</v>
      </c>
      <c r="M392" s="47">
        <f t="shared" si="5"/>
        <v>4.2095644796555476E-2</v>
      </c>
      <c r="N392" s="60">
        <f t="shared" si="5"/>
        <v>4.9145734742396918E-2</v>
      </c>
      <c r="O392" s="50">
        <f t="shared" si="5"/>
        <v>7.0211153325731246E-2</v>
      </c>
    </row>
    <row r="393" spans="2:15" x14ac:dyDescent="0.3">
      <c r="B393" s="20" t="s">
        <v>394</v>
      </c>
      <c r="C393" s="47">
        <f>LE_BRA!C345</f>
        <v>6.6653647742815707</v>
      </c>
      <c r="D393" s="60">
        <f>LE_IND!C345</f>
        <v>6.4859402834468725</v>
      </c>
      <c r="E393" s="50">
        <f>LE_ZAF!C345</f>
        <v>6.2036399987847348</v>
      </c>
      <c r="G393" s="20" t="s">
        <v>794</v>
      </c>
      <c r="H393" s="47">
        <f>LE_BRA!AD345</f>
        <v>6.6162108455220929</v>
      </c>
      <c r="I393" s="60">
        <f>LE_IND!AD345</f>
        <v>6.4274585647240547</v>
      </c>
      <c r="J393" s="50">
        <f>LE_ZAF!AD345</f>
        <v>6.1206827532366734</v>
      </c>
      <c r="L393" s="20" t="s">
        <v>1194</v>
      </c>
      <c r="M393" s="47">
        <f t="shared" si="5"/>
        <v>4.9153928759477772E-2</v>
      </c>
      <c r="N393" s="60">
        <f t="shared" si="5"/>
        <v>5.848171872281771E-2</v>
      </c>
      <c r="O393" s="50">
        <f t="shared" si="5"/>
        <v>8.2957245548061387E-2</v>
      </c>
    </row>
    <row r="394" spans="2:15" x14ac:dyDescent="0.3">
      <c r="B394" s="20" t="s">
        <v>395</v>
      </c>
      <c r="C394" s="47">
        <f>LE_BRA!C346</f>
        <v>6.5103592932093708</v>
      </c>
      <c r="D394" s="60">
        <f>LE_IND!C346</f>
        <v>6.2837920572869557</v>
      </c>
      <c r="E394" s="50">
        <f>LE_ZAF!C346</f>
        <v>5.9639192693471639</v>
      </c>
      <c r="G394" s="20" t="s">
        <v>795</v>
      </c>
      <c r="H394" s="47">
        <f>LE_BRA!AD346</f>
        <v>6.4523928913124005</v>
      </c>
      <c r="I394" s="60">
        <f>LE_IND!AD346</f>
        <v>6.2141534123195248</v>
      </c>
      <c r="J394" s="50">
        <f>LE_ZAF!AD346</f>
        <v>5.8678188543944145</v>
      </c>
      <c r="L394" s="20" t="s">
        <v>1195</v>
      </c>
      <c r="M394" s="47">
        <f t="shared" si="5"/>
        <v>5.7966401896970332E-2</v>
      </c>
      <c r="N394" s="60">
        <f t="shared" si="5"/>
        <v>6.9638644967430885E-2</v>
      </c>
      <c r="O394" s="50">
        <f t="shared" si="5"/>
        <v>9.6100414952749347E-2</v>
      </c>
    </row>
    <row r="395" spans="2:15" x14ac:dyDescent="0.3">
      <c r="B395" s="20" t="s">
        <v>396</v>
      </c>
      <c r="C395" s="47">
        <f>LE_BRA!C347</f>
        <v>6.3199511764346727</v>
      </c>
      <c r="D395" s="60">
        <f>LE_IND!C347</f>
        <v>6.0381360876171728</v>
      </c>
      <c r="E395" s="50">
        <f>LE_ZAF!C347</f>
        <v>5.6945030051871104</v>
      </c>
      <c r="G395" s="20" t="s">
        <v>796</v>
      </c>
      <c r="H395" s="47">
        <f>LE_BRA!AD347</f>
        <v>6.2516225941521855</v>
      </c>
      <c r="I395" s="60">
        <f>LE_IND!AD347</f>
        <v>5.955710181253294</v>
      </c>
      <c r="J395" s="50">
        <f>LE_ZAF!AD347</f>
        <v>5.5857591406735967</v>
      </c>
      <c r="L395" s="20" t="s">
        <v>1196</v>
      </c>
      <c r="M395" s="47">
        <f t="shared" si="5"/>
        <v>6.8328582282487282E-2</v>
      </c>
      <c r="N395" s="60">
        <f t="shared" si="5"/>
        <v>8.2425906363878809E-2</v>
      </c>
      <c r="O395" s="50">
        <f t="shared" si="5"/>
        <v>0.1087438645135137</v>
      </c>
    </row>
    <row r="396" spans="2:15" x14ac:dyDescent="0.3">
      <c r="B396" s="20" t="s">
        <v>397</v>
      </c>
      <c r="C396" s="47">
        <f>LE_BRA!C348</f>
        <v>6.0883787398764913</v>
      </c>
      <c r="D396" s="60">
        <f>LE_IND!C348</f>
        <v>5.74266785831409</v>
      </c>
      <c r="E396" s="50">
        <f>LE_ZAF!C348</f>
        <v>5.39373247476912</v>
      </c>
      <c r="G396" s="20" t="s">
        <v>797</v>
      </c>
      <c r="H396" s="47">
        <f>LE_BRA!AD348</f>
        <v>6.0081664025709394</v>
      </c>
      <c r="I396" s="60">
        <f>LE_IND!AD348</f>
        <v>5.6459736716818494</v>
      </c>
      <c r="J396" s="50">
        <f>LE_ZAF!AD348</f>
        <v>5.2734992427773131</v>
      </c>
      <c r="L396" s="20" t="s">
        <v>1197</v>
      </c>
      <c r="M396" s="47">
        <f t="shared" si="5"/>
        <v>8.0212337305551884E-2</v>
      </c>
      <c r="N396" s="60">
        <f t="shared" si="5"/>
        <v>9.6694186632240609E-2</v>
      </c>
      <c r="O396" s="50">
        <f t="shared" si="5"/>
        <v>0.12023323199180691</v>
      </c>
    </row>
    <row r="397" spans="2:15" x14ac:dyDescent="0.3">
      <c r="B397" s="20" t="s">
        <v>398</v>
      </c>
      <c r="C397" s="47">
        <f>LE_BRA!C349</f>
        <v>5.8107078838204078</v>
      </c>
      <c r="D397" s="60">
        <f>LE_IND!C349</f>
        <v>5.390781361455117</v>
      </c>
      <c r="E397" s="50">
        <f>LE_ZAF!C349</f>
        <v>5.0489781420169209</v>
      </c>
      <c r="G397" s="20" t="s">
        <v>798</v>
      </c>
      <c r="H397" s="47">
        <f>LE_BRA!AD349</f>
        <v>5.7173695323768223</v>
      </c>
      <c r="I397" s="60">
        <f>LE_IND!AD349</f>
        <v>5.2785880578661022</v>
      </c>
      <c r="J397" s="50">
        <f>LE_ZAF!AD349</f>
        <v>4.9178961901442717</v>
      </c>
      <c r="L397" s="20" t="s">
        <v>1198</v>
      </c>
      <c r="M397" s="47">
        <f t="shared" si="5"/>
        <v>9.3338351443585488E-2</v>
      </c>
      <c r="N397" s="60">
        <f t="shared" si="5"/>
        <v>0.1121933035890148</v>
      </c>
      <c r="O397" s="50">
        <f t="shared" si="5"/>
        <v>0.13108195187264915</v>
      </c>
    </row>
    <row r="398" spans="2:15" x14ac:dyDescent="0.3">
      <c r="B398" s="20" t="s">
        <v>399</v>
      </c>
      <c r="C398" s="47">
        <f>LE_BRA!C350</f>
        <v>5.4841426635314559</v>
      </c>
      <c r="D398" s="60">
        <f>LE_IND!C350</f>
        <v>4.984434995426799</v>
      </c>
      <c r="E398" s="50">
        <f>LE_ZAF!C350</f>
        <v>4.6556944169924304</v>
      </c>
      <c r="G398" s="20" t="s">
        <v>799</v>
      </c>
      <c r="H398" s="47">
        <f>LE_BRA!AD350</f>
        <v>5.3771289914025022</v>
      </c>
      <c r="I398" s="60">
        <f>LE_IND!AD350</f>
        <v>4.8568536357503573</v>
      </c>
      <c r="J398" s="50">
        <f>LE_ZAF!AD350</f>
        <v>4.5149752554267542</v>
      </c>
      <c r="L398" s="20" t="s">
        <v>1199</v>
      </c>
      <c r="M398" s="47">
        <f t="shared" si="5"/>
        <v>0.10701367212895363</v>
      </c>
      <c r="N398" s="60">
        <f t="shared" si="5"/>
        <v>0.12758135967644169</v>
      </c>
      <c r="O398" s="50">
        <f t="shared" si="5"/>
        <v>0.14071916156567621</v>
      </c>
    </row>
    <row r="399" spans="2:15" x14ac:dyDescent="0.3">
      <c r="B399" s="20" t="s">
        <v>400</v>
      </c>
      <c r="C399" s="47">
        <f>LE_BRA!C351</f>
        <v>5.1023942811556395</v>
      </c>
      <c r="D399" s="60">
        <f>LE_IND!C351</f>
        <v>4.5283415428430915</v>
      </c>
      <c r="E399" s="50">
        <f>LE_ZAF!C351</f>
        <v>4.2073791541438368</v>
      </c>
      <c r="G399" s="20" t="s">
        <v>800</v>
      </c>
      <c r="H399" s="47">
        <f>LE_BRA!AD351</f>
        <v>4.9815515654656224</v>
      </c>
      <c r="I399" s="60">
        <f>LE_IND!AD351</f>
        <v>4.3870932330260484</v>
      </c>
      <c r="J399" s="50">
        <f>LE_ZAF!AD351</f>
        <v>4.0586600471986145</v>
      </c>
      <c r="L399" s="20" t="s">
        <v>1200</v>
      </c>
      <c r="M399" s="47">
        <f t="shared" si="5"/>
        <v>0.12084271569001714</v>
      </c>
      <c r="N399" s="60">
        <f t="shared" si="5"/>
        <v>0.14124830981704317</v>
      </c>
      <c r="O399" s="50">
        <f t="shared" si="5"/>
        <v>0.14871910694522228</v>
      </c>
    </row>
    <row r="400" spans="2:15" x14ac:dyDescent="0.3">
      <c r="B400" s="20" t="s">
        <v>401</v>
      </c>
      <c r="C400" s="47">
        <f>LE_BRA!C352</f>
        <v>4.6629691734016214</v>
      </c>
      <c r="D400" s="60">
        <f>LE_IND!C352</f>
        <v>4.0220975585211374</v>
      </c>
      <c r="E400" s="50">
        <f>LE_ZAF!C352</f>
        <v>3.7022013628662371</v>
      </c>
      <c r="G400" s="20" t="s">
        <v>801</v>
      </c>
      <c r="H400" s="47">
        <f>LE_BRA!AD352</f>
        <v>4.52905723327427</v>
      </c>
      <c r="I400" s="60">
        <f>LE_IND!AD352</f>
        <v>3.8697490795871023</v>
      </c>
      <c r="J400" s="50">
        <f>LE_ZAF!AD352</f>
        <v>3.5479013615614412</v>
      </c>
      <c r="L400" s="20" t="s">
        <v>1201</v>
      </c>
      <c r="M400" s="47">
        <f t="shared" si="5"/>
        <v>0.13391194012735141</v>
      </c>
      <c r="N400" s="60">
        <f t="shared" si="5"/>
        <v>0.15234847893403503</v>
      </c>
      <c r="O400" s="50">
        <f t="shared" si="5"/>
        <v>0.15430000130479593</v>
      </c>
    </row>
    <row r="401" spans="2:15" x14ac:dyDescent="0.3">
      <c r="B401" s="20" t="s">
        <v>402</v>
      </c>
      <c r="C401" s="47">
        <f>LE_BRA!C353</f>
        <v>4.1705447190586451</v>
      </c>
      <c r="D401" s="60">
        <f>LE_IND!C353</f>
        <v>3.4744355220294971</v>
      </c>
      <c r="E401" s="50">
        <f>LE_ZAF!C353</f>
        <v>3.1540414007235795</v>
      </c>
      <c r="G401" s="20" t="s">
        <v>802</v>
      </c>
      <c r="H401" s="47">
        <f>LE_BRA!AD353</f>
        <v>4.0259829532637506</v>
      </c>
      <c r="I401" s="60">
        <f>LE_IND!AD353</f>
        <v>3.3148802463790363</v>
      </c>
      <c r="J401" s="50">
        <f>LE_ZAF!AD353</f>
        <v>2.9985185327850741</v>
      </c>
      <c r="L401" s="20" t="s">
        <v>1202</v>
      </c>
      <c r="M401" s="47">
        <f t="shared" si="5"/>
        <v>0.14456176579489455</v>
      </c>
      <c r="N401" s="60">
        <f t="shared" si="5"/>
        <v>0.15955527565046079</v>
      </c>
      <c r="O401" s="50">
        <f t="shared" si="5"/>
        <v>0.15552286793850545</v>
      </c>
    </row>
    <row r="402" spans="2:15" x14ac:dyDescent="0.3">
      <c r="B402" s="20" t="s">
        <v>403</v>
      </c>
      <c r="C402" s="47">
        <f>LE_BRA!C354</f>
        <v>3.6292677620770863</v>
      </c>
      <c r="D402" s="60">
        <f>LE_IND!C354</f>
        <v>2.9132591450281247</v>
      </c>
      <c r="E402" s="50">
        <f>LE_ZAF!C354</f>
        <v>2.5832529318835724</v>
      </c>
      <c r="G402" s="20" t="s">
        <v>803</v>
      </c>
      <c r="H402" s="47">
        <f>LE_BRA!AD354</f>
        <v>3.4778346228216979</v>
      </c>
      <c r="I402" s="60">
        <f>LE_IND!AD354</f>
        <v>2.7525794257637966</v>
      </c>
      <c r="J402" s="50">
        <f>LE_ZAF!AD354</f>
        <v>2.4325274401263504</v>
      </c>
      <c r="L402" s="20" t="s">
        <v>1203</v>
      </c>
      <c r="M402" s="47">
        <f t="shared" si="5"/>
        <v>0.15143313925538848</v>
      </c>
      <c r="N402" s="60">
        <f t="shared" si="5"/>
        <v>0.16067971926432811</v>
      </c>
      <c r="O402" s="50">
        <f t="shared" si="5"/>
        <v>0.15072549175722205</v>
      </c>
    </row>
    <row r="403" spans="2:15" x14ac:dyDescent="0.3">
      <c r="B403" s="20" t="s">
        <v>404</v>
      </c>
      <c r="C403" s="47">
        <f>LE_BRA!C355</f>
        <v>2.8098471117056167</v>
      </c>
      <c r="D403" s="60">
        <f>LE_IND!C355</f>
        <v>2.1350955083000795</v>
      </c>
      <c r="E403" s="50">
        <f>LE_ZAF!C355</f>
        <v>1.7723361870567185</v>
      </c>
      <c r="G403" s="20" t="s">
        <v>804</v>
      </c>
      <c r="H403" s="47">
        <f>LE_BRA!AD355</f>
        <v>2.6578192033144408</v>
      </c>
      <c r="I403" s="60">
        <f>LE_IND!AD355</f>
        <v>1.9833800754427571</v>
      </c>
      <c r="J403" s="50">
        <f>LE_ZAF!AD355</f>
        <v>1.6382881903535005</v>
      </c>
      <c r="L403" s="20" t="s">
        <v>1204</v>
      </c>
      <c r="M403" s="47">
        <f t="shared" si="5"/>
        <v>0.15202790839117597</v>
      </c>
      <c r="N403" s="60">
        <f t="shared" si="5"/>
        <v>0.15171543285732247</v>
      </c>
      <c r="O403" s="50">
        <f t="shared" si="5"/>
        <v>0.13404799670321799</v>
      </c>
    </row>
    <row r="404" spans="2:15" x14ac:dyDescent="0.3">
      <c r="B404" s="20" t="s">
        <v>405</v>
      </c>
      <c r="C404" s="47">
        <f>LE_BRA!C356</f>
        <v>6.7811758835516507</v>
      </c>
      <c r="D404" s="60">
        <f>LE_IND!C356</f>
        <v>6.7131999125040087</v>
      </c>
      <c r="E404" s="50">
        <f>LE_ZAF!C356</f>
        <v>6.6155810096597598</v>
      </c>
      <c r="G404" s="20" t="s">
        <v>805</v>
      </c>
      <c r="H404" s="47">
        <f>LE_BRA!AD356</f>
        <v>6.7630027823083392</v>
      </c>
      <c r="I404" s="60">
        <f>LE_IND!AD356</f>
        <v>6.6900559595448703</v>
      </c>
      <c r="J404" s="50">
        <f>LE_ZAF!AD356</f>
        <v>6.5833009162360572</v>
      </c>
      <c r="L404" s="20" t="s">
        <v>1205</v>
      </c>
      <c r="M404" s="47">
        <f t="shared" si="5"/>
        <v>1.8173101243311507E-2</v>
      </c>
      <c r="N404" s="60">
        <f t="shared" si="5"/>
        <v>2.3143952959138403E-2</v>
      </c>
      <c r="O404" s="50">
        <f t="shared" si="5"/>
        <v>3.2280093423702638E-2</v>
      </c>
    </row>
    <row r="405" spans="2:15" x14ac:dyDescent="0.3">
      <c r="B405" s="20" t="s">
        <v>406</v>
      </c>
      <c r="C405" s="47">
        <f>LE_BRA!C357</f>
        <v>6.7265086490707828</v>
      </c>
      <c r="D405" s="60">
        <f>LE_IND!C357</f>
        <v>6.655728736726144</v>
      </c>
      <c r="E405" s="50">
        <f>LE_ZAF!C357</f>
        <v>6.539326228449271</v>
      </c>
      <c r="G405" s="20" t="s">
        <v>806</v>
      </c>
      <c r="H405" s="47">
        <f>LE_BRA!AD357</f>
        <v>6.7044054737640097</v>
      </c>
      <c r="I405" s="60">
        <f>LE_IND!AD357</f>
        <v>6.6294474111121797</v>
      </c>
      <c r="J405" s="50">
        <f>LE_ZAF!AD357</f>
        <v>6.5024427490671695</v>
      </c>
      <c r="L405" s="20" t="s">
        <v>1206</v>
      </c>
      <c r="M405" s="47">
        <f t="shared" si="5"/>
        <v>2.2103175306773082E-2</v>
      </c>
      <c r="N405" s="60">
        <f t="shared" si="5"/>
        <v>2.6281325613964235E-2</v>
      </c>
      <c r="O405" s="50">
        <f t="shared" si="5"/>
        <v>3.6883479382101569E-2</v>
      </c>
    </row>
    <row r="406" spans="2:15" x14ac:dyDescent="0.3">
      <c r="B406" s="20" t="s">
        <v>407</v>
      </c>
      <c r="C406" s="47">
        <f>LE_BRA!C358</f>
        <v>6.653726316416626</v>
      </c>
      <c r="D406" s="60">
        <f>LE_IND!C358</f>
        <v>6.5706221525529482</v>
      </c>
      <c r="E406" s="50">
        <f>LE_ZAF!C358</f>
        <v>6.4260116080381833</v>
      </c>
      <c r="G406" s="20" t="s">
        <v>807</v>
      </c>
      <c r="H406" s="47">
        <f>LE_BRA!AD358</f>
        <v>6.6261908648422523</v>
      </c>
      <c r="I406" s="60">
        <f>LE_IND!AD358</f>
        <v>6.5387273212956529</v>
      </c>
      <c r="J406" s="50">
        <f>LE_ZAF!AD358</f>
        <v>6.3810848372186566</v>
      </c>
      <c r="L406" s="20" t="s">
        <v>1207</v>
      </c>
      <c r="M406" s="47">
        <f t="shared" si="5"/>
        <v>2.7535451574373759E-2</v>
      </c>
      <c r="N406" s="60">
        <f t="shared" si="5"/>
        <v>3.1894831257295309E-2</v>
      </c>
      <c r="O406" s="50">
        <f t="shared" si="5"/>
        <v>4.4926770819526674E-2</v>
      </c>
    </row>
    <row r="407" spans="2:15" x14ac:dyDescent="0.3">
      <c r="B407" s="20" t="s">
        <v>408</v>
      </c>
      <c r="C407" s="47">
        <f>LE_BRA!C359</f>
        <v>6.5671615138267754</v>
      </c>
      <c r="D407" s="60">
        <f>LE_IND!C359</f>
        <v>6.4641008901299637</v>
      </c>
      <c r="E407" s="50">
        <f>LE_ZAF!C359</f>
        <v>6.2832898151716687</v>
      </c>
      <c r="G407" s="20" t="s">
        <v>808</v>
      </c>
      <c r="H407" s="47">
        <f>LE_BRA!AD359</f>
        <v>6.5335385057965176</v>
      </c>
      <c r="I407" s="60">
        <f>LE_IND!AD359</f>
        <v>6.425306903476196</v>
      </c>
      <c r="J407" s="50">
        <f>LE_ZAF!AD359</f>
        <v>6.2283149918024661</v>
      </c>
      <c r="L407" s="20" t="s">
        <v>1208</v>
      </c>
      <c r="M407" s="47">
        <f t="shared" si="5"/>
        <v>3.3623008030257751E-2</v>
      </c>
      <c r="N407" s="60">
        <f t="shared" si="5"/>
        <v>3.8793986653767654E-2</v>
      </c>
      <c r="O407" s="50">
        <f t="shared" si="5"/>
        <v>5.4974823369202674E-2</v>
      </c>
    </row>
    <row r="408" spans="2:15" x14ac:dyDescent="0.3">
      <c r="B408" s="20" t="s">
        <v>409</v>
      </c>
      <c r="C408" s="47">
        <f>LE_BRA!C360</f>
        <v>6.4701496873050122</v>
      </c>
      <c r="D408" s="60">
        <f>LE_IND!C360</f>
        <v>6.3366909030605214</v>
      </c>
      <c r="E408" s="50">
        <f>LE_ZAF!C360</f>
        <v>6.1135753557115242</v>
      </c>
      <c r="G408" s="20" t="s">
        <v>809</v>
      </c>
      <c r="H408" s="47">
        <f>LE_BRA!AD360</f>
        <v>6.4305454741178067</v>
      </c>
      <c r="I408" s="60">
        <f>LE_IND!AD360</f>
        <v>6.2902028100715484</v>
      </c>
      <c r="J408" s="50">
        <f>LE_ZAF!AD360</f>
        <v>6.0473392784338582</v>
      </c>
      <c r="L408" s="20" t="s">
        <v>1209</v>
      </c>
      <c r="M408" s="47">
        <f t="shared" si="5"/>
        <v>3.9604213187205417E-2</v>
      </c>
      <c r="N408" s="60">
        <f t="shared" si="5"/>
        <v>4.6488092988973051E-2</v>
      </c>
      <c r="O408" s="50">
        <f t="shared" si="5"/>
        <v>6.6236077277666006E-2</v>
      </c>
    </row>
    <row r="409" spans="2:15" x14ac:dyDescent="0.3">
      <c r="B409" s="20" t="s">
        <v>410</v>
      </c>
      <c r="C409" s="47">
        <f>LE_BRA!C361</f>
        <v>6.3536917660520977</v>
      </c>
      <c r="D409" s="60">
        <f>LE_IND!C361</f>
        <v>6.1817294039305031</v>
      </c>
      <c r="E409" s="50">
        <f>LE_ZAF!C361</f>
        <v>5.9157752071628114</v>
      </c>
      <c r="G409" s="20" t="s">
        <v>810</v>
      </c>
      <c r="H409" s="47">
        <f>LE_BRA!AD361</f>
        <v>6.3074008391367942</v>
      </c>
      <c r="I409" s="60">
        <f>LE_IND!AD361</f>
        <v>6.1263858081304843</v>
      </c>
      <c r="J409" s="50">
        <f>LE_ZAF!AD361</f>
        <v>5.8374649740544609</v>
      </c>
      <c r="L409" s="20" t="s">
        <v>1210</v>
      </c>
      <c r="M409" s="47">
        <f t="shared" si="5"/>
        <v>4.6290926915303565E-2</v>
      </c>
      <c r="N409" s="60">
        <f t="shared" si="5"/>
        <v>5.5343595800018797E-2</v>
      </c>
      <c r="O409" s="50">
        <f t="shared" si="5"/>
        <v>7.8310233108350502E-2</v>
      </c>
    </row>
    <row r="410" spans="2:15" x14ac:dyDescent="0.3">
      <c r="B410" s="20" t="s">
        <v>411</v>
      </c>
      <c r="C410" s="47">
        <f>LE_BRA!C362</f>
        <v>6.2068977491020245</v>
      </c>
      <c r="D410" s="60">
        <f>LE_IND!C362</f>
        <v>5.9900227730027442</v>
      </c>
      <c r="E410" s="50">
        <f>LE_ZAF!C362</f>
        <v>5.6880803349651501</v>
      </c>
      <c r="G410" s="20" t="s">
        <v>811</v>
      </c>
      <c r="H410" s="47">
        <f>LE_BRA!AD362</f>
        <v>6.1522635928207619</v>
      </c>
      <c r="I410" s="60">
        <f>LE_IND!AD362</f>
        <v>5.9240938835695509</v>
      </c>
      <c r="J410" s="50">
        <f>LE_ZAF!AD362</f>
        <v>5.5972753249071445</v>
      </c>
      <c r="L410" s="20" t="s">
        <v>1211</v>
      </c>
      <c r="M410" s="47">
        <f t="shared" si="5"/>
        <v>5.4634156281262669E-2</v>
      </c>
      <c r="N410" s="60">
        <f t="shared" si="5"/>
        <v>6.5928889433193305E-2</v>
      </c>
      <c r="O410" s="50">
        <f t="shared" si="5"/>
        <v>9.0805010058005564E-2</v>
      </c>
    </row>
    <row r="411" spans="2:15" x14ac:dyDescent="0.3">
      <c r="B411" s="20" t="s">
        <v>412</v>
      </c>
      <c r="C411" s="47">
        <f>LE_BRA!C363</f>
        <v>6.0265244680594767</v>
      </c>
      <c r="D411" s="60">
        <f>LE_IND!C363</f>
        <v>5.7569669787732334</v>
      </c>
      <c r="E411" s="50">
        <f>LE_ZAF!C363</f>
        <v>5.4316781549294486</v>
      </c>
      <c r="G411" s="20" t="s">
        <v>812</v>
      </c>
      <c r="H411" s="47">
        <f>LE_BRA!AD363</f>
        <v>5.9620759185503696</v>
      </c>
      <c r="I411" s="60">
        <f>LE_IND!AD363</f>
        <v>5.6788966530865634</v>
      </c>
      <c r="J411" s="50">
        <f>LE_ZAF!AD363</f>
        <v>5.3288004752471112</v>
      </c>
      <c r="L411" s="20" t="s">
        <v>1212</v>
      </c>
      <c r="M411" s="47">
        <f t="shared" si="5"/>
        <v>6.4448549509107167E-2</v>
      </c>
      <c r="N411" s="60">
        <f t="shared" si="5"/>
        <v>7.8070325686669939E-2</v>
      </c>
      <c r="O411" s="50">
        <f t="shared" si="5"/>
        <v>0.10287767968233741</v>
      </c>
    </row>
    <row r="412" spans="2:15" x14ac:dyDescent="0.3">
      <c r="B412" s="20" t="s">
        <v>413</v>
      </c>
      <c r="C412" s="47">
        <f>LE_BRA!C364</f>
        <v>5.8070641431872829</v>
      </c>
      <c r="D412" s="60">
        <f>LE_IND!C364</f>
        <v>5.4765275619842013</v>
      </c>
      <c r="E412" s="50">
        <f>LE_ZAF!C364</f>
        <v>5.1449718707290319</v>
      </c>
      <c r="G412" s="20" t="s">
        <v>813</v>
      </c>
      <c r="H412" s="47">
        <f>LE_BRA!AD364</f>
        <v>5.7313524490385044</v>
      </c>
      <c r="I412" s="60">
        <f>LE_IND!AD364</f>
        <v>5.3848964557881827</v>
      </c>
      <c r="J412" s="50">
        <f>LE_ZAF!AD364</f>
        <v>5.0310677843985605</v>
      </c>
      <c r="L412" s="20" t="s">
        <v>1213</v>
      </c>
      <c r="M412" s="47">
        <f t="shared" si="5"/>
        <v>7.5711694148778541E-2</v>
      </c>
      <c r="N412" s="60">
        <f t="shared" si="5"/>
        <v>9.1631106196018663E-2</v>
      </c>
      <c r="O412" s="50">
        <f t="shared" si="5"/>
        <v>0.11390408633047144</v>
      </c>
    </row>
    <row r="413" spans="2:15" x14ac:dyDescent="0.3">
      <c r="B413" s="20" t="s">
        <v>414</v>
      </c>
      <c r="C413" s="47">
        <f>LE_BRA!C365</f>
        <v>5.5437652070303525</v>
      </c>
      <c r="D413" s="60">
        <f>LE_IND!C365</f>
        <v>5.1424087997778392</v>
      </c>
      <c r="E413" s="50">
        <f>LE_ZAF!C365</f>
        <v>4.8161801247686951</v>
      </c>
      <c r="G413" s="20" t="s">
        <v>814</v>
      </c>
      <c r="H413" s="47">
        <f>LE_BRA!AD365</f>
        <v>5.4556003868553473</v>
      </c>
      <c r="I413" s="60">
        <f>LE_IND!AD365</f>
        <v>5.0360348464242417</v>
      </c>
      <c r="J413" s="50">
        <f>LE_ZAF!AD365</f>
        <v>4.6918369098580008</v>
      </c>
      <c r="L413" s="20" t="s">
        <v>1214</v>
      </c>
      <c r="M413" s="47">
        <f t="shared" si="5"/>
        <v>8.8164820175005154E-2</v>
      </c>
      <c r="N413" s="60">
        <f t="shared" si="5"/>
        <v>0.10637395335359745</v>
      </c>
      <c r="O413" s="50">
        <f t="shared" si="5"/>
        <v>0.12434321491069422</v>
      </c>
    </row>
    <row r="414" spans="2:15" x14ac:dyDescent="0.3">
      <c r="B414" s="20" t="s">
        <v>415</v>
      </c>
      <c r="C414" s="47">
        <f>LE_BRA!C366</f>
        <v>5.2338424543099782</v>
      </c>
      <c r="D414" s="60">
        <f>LE_IND!C366</f>
        <v>4.7563322214737971</v>
      </c>
      <c r="E414" s="50">
        <f>LE_ZAF!C366</f>
        <v>4.4410465670572883</v>
      </c>
      <c r="G414" s="20" t="s">
        <v>815</v>
      </c>
      <c r="H414" s="47">
        <f>LE_BRA!AD366</f>
        <v>5.1326807498863367</v>
      </c>
      <c r="I414" s="60">
        <f>LE_IND!AD366</f>
        <v>4.6352975102332401</v>
      </c>
      <c r="J414" s="50">
        <f>LE_ZAF!AD366</f>
        <v>4.3074047740082877</v>
      </c>
      <c r="L414" s="20" t="s">
        <v>1215</v>
      </c>
      <c r="M414" s="47">
        <f t="shared" ref="M414:O451" si="6">C414-H414</f>
        <v>0.10116170442364147</v>
      </c>
      <c r="N414" s="60">
        <f t="shared" si="6"/>
        <v>0.12103471124055698</v>
      </c>
      <c r="O414" s="50">
        <f t="shared" si="6"/>
        <v>0.13364179304900059</v>
      </c>
    </row>
    <row r="415" spans="2:15" x14ac:dyDescent="0.3">
      <c r="B415" s="20" t="s">
        <v>416</v>
      </c>
      <c r="C415" s="47">
        <f>LE_BRA!C367</f>
        <v>4.8712181770461038</v>
      </c>
      <c r="D415" s="60">
        <f>LE_IND!C367</f>
        <v>4.3226015234423576</v>
      </c>
      <c r="E415" s="50">
        <f>LE_ZAF!C367</f>
        <v>4.0134909744599963</v>
      </c>
      <c r="G415" s="20" t="s">
        <v>816</v>
      </c>
      <c r="H415" s="47">
        <f>LE_BRA!AD367</f>
        <v>4.7568856776181212</v>
      </c>
      <c r="I415" s="60">
        <f>LE_IND!AD367</f>
        <v>4.1885074965729912</v>
      </c>
      <c r="J415" s="50">
        <f>LE_ZAF!AD367</f>
        <v>3.8721091328072368</v>
      </c>
      <c r="L415" s="20" t="s">
        <v>1216</v>
      </c>
      <c r="M415" s="47">
        <f t="shared" si="6"/>
        <v>0.11433249942798263</v>
      </c>
      <c r="N415" s="60">
        <f t="shared" si="6"/>
        <v>0.13409402686936644</v>
      </c>
      <c r="O415" s="50">
        <f t="shared" si="6"/>
        <v>0.14138184165275947</v>
      </c>
    </row>
    <row r="416" spans="2:15" x14ac:dyDescent="0.3">
      <c r="B416" s="20" t="s">
        <v>417</v>
      </c>
      <c r="C416" s="47">
        <f>LE_BRA!C368</f>
        <v>4.4533263543115709</v>
      </c>
      <c r="D416" s="60">
        <f>LE_IND!C368</f>
        <v>3.8407669954490822</v>
      </c>
      <c r="E416" s="50">
        <f>LE_ZAF!C368</f>
        <v>3.5318597826264551</v>
      </c>
      <c r="G416" s="20" t="s">
        <v>817</v>
      </c>
      <c r="H416" s="47">
        <f>LE_BRA!AD368</f>
        <v>4.3265062394691096</v>
      </c>
      <c r="I416" s="60">
        <f>LE_IND!AD368</f>
        <v>3.6960249519634911</v>
      </c>
      <c r="J416" s="50">
        <f>LE_ZAF!AD368</f>
        <v>3.3850520746656056</v>
      </c>
      <c r="L416" s="20" t="s">
        <v>1217</v>
      </c>
      <c r="M416" s="47">
        <f t="shared" si="6"/>
        <v>0.12682011484246125</v>
      </c>
      <c r="N416" s="60">
        <f t="shared" si="6"/>
        <v>0.14474204348559105</v>
      </c>
      <c r="O416" s="50">
        <f t="shared" si="6"/>
        <v>0.14680770796084941</v>
      </c>
    </row>
    <row r="417" spans="2:15" x14ac:dyDescent="0.3">
      <c r="B417" s="20" t="s">
        <v>418</v>
      </c>
      <c r="C417" s="47">
        <f>LE_BRA!C369</f>
        <v>3.9843385259458888</v>
      </c>
      <c r="D417" s="60">
        <f>LE_IND!C369</f>
        <v>3.3190014191154082</v>
      </c>
      <c r="E417" s="50">
        <f>LE_ZAF!C369</f>
        <v>3.0093337671608729</v>
      </c>
      <c r="G417" s="20" t="s">
        <v>818</v>
      </c>
      <c r="H417" s="47">
        <f>LE_BRA!AD369</f>
        <v>3.8472794569561408</v>
      </c>
      <c r="I417" s="60">
        <f>LE_IND!AD369</f>
        <v>3.1672900494320659</v>
      </c>
      <c r="J417" s="50">
        <f>LE_ZAF!AD369</f>
        <v>2.8612602082236074</v>
      </c>
      <c r="L417" s="20" t="s">
        <v>1218</v>
      </c>
      <c r="M417" s="47">
        <f t="shared" si="6"/>
        <v>0.13705906898974796</v>
      </c>
      <c r="N417" s="60">
        <f t="shared" si="6"/>
        <v>0.15171136968334231</v>
      </c>
      <c r="O417" s="50">
        <f t="shared" si="6"/>
        <v>0.14807355893726548</v>
      </c>
    </row>
    <row r="418" spans="2:15" x14ac:dyDescent="0.3">
      <c r="B418" s="20" t="s">
        <v>419</v>
      </c>
      <c r="C418" s="47">
        <f>LE_BRA!C370</f>
        <v>3.4681590796628319</v>
      </c>
      <c r="D418" s="60">
        <f>LE_IND!C370</f>
        <v>2.783715808481821</v>
      </c>
      <c r="E418" s="50">
        <f>LE_ZAF!C370</f>
        <v>2.4652626553277295</v>
      </c>
      <c r="G418" s="20" t="s">
        <v>819</v>
      </c>
      <c r="H418" s="47">
        <f>LE_BRA!AD370</f>
        <v>3.3244205230402284</v>
      </c>
      <c r="I418" s="60">
        <f>LE_IND!AD370</f>
        <v>2.6308122592340641</v>
      </c>
      <c r="J418" s="50">
        <f>LE_ZAF!AD370</f>
        <v>2.321667651756524</v>
      </c>
      <c r="L418" s="20" t="s">
        <v>1219</v>
      </c>
      <c r="M418" s="47">
        <f t="shared" si="6"/>
        <v>0.14373855662260349</v>
      </c>
      <c r="N418" s="60">
        <f t="shared" si="6"/>
        <v>0.15290354924775684</v>
      </c>
      <c r="O418" s="50">
        <f t="shared" si="6"/>
        <v>0.14359500357120547</v>
      </c>
    </row>
    <row r="419" spans="2:15" x14ac:dyDescent="0.3">
      <c r="B419" s="20" t="s">
        <v>420</v>
      </c>
      <c r="C419" s="47">
        <f>LE_BRA!C371</f>
        <v>2.68562162546786</v>
      </c>
      <c r="D419" s="60">
        <f>LE_IND!C371</f>
        <v>2.0404178428992878</v>
      </c>
      <c r="E419" s="50">
        <f>LE_ZAF!C371</f>
        <v>1.6922741248651327</v>
      </c>
      <c r="G419" s="20" t="s">
        <v>820</v>
      </c>
      <c r="H419" s="47">
        <f>LE_BRA!AD371</f>
        <v>2.5411097648837964</v>
      </c>
      <c r="I419" s="60">
        <f>LE_IND!AD371</f>
        <v>1.8958938137023158</v>
      </c>
      <c r="J419" s="50">
        <f>LE_ZAF!AD371</f>
        <v>1.5644518070527924</v>
      </c>
      <c r="L419" s="20" t="s">
        <v>1220</v>
      </c>
      <c r="M419" s="47">
        <f t="shared" si="6"/>
        <v>0.14451186058406362</v>
      </c>
      <c r="N419" s="60">
        <f t="shared" si="6"/>
        <v>0.14452402919697205</v>
      </c>
      <c r="O419" s="50">
        <f t="shared" si="6"/>
        <v>0.12782231781234032</v>
      </c>
    </row>
    <row r="420" spans="2:15" x14ac:dyDescent="0.3">
      <c r="B420" s="20" t="s">
        <v>421</v>
      </c>
      <c r="C420" s="47">
        <f>LE_BRA!C372</f>
        <v>6.4606592630324604</v>
      </c>
      <c r="D420" s="60">
        <f>LE_IND!C372</f>
        <v>6.3957811423981328</v>
      </c>
      <c r="E420" s="50">
        <f>LE_ZAF!C372</f>
        <v>6.3039373987252301</v>
      </c>
      <c r="G420" s="20" t="s">
        <v>821</v>
      </c>
      <c r="H420" s="47">
        <f>LE_BRA!AD372</f>
        <v>6.4436018439549274</v>
      </c>
      <c r="I420" s="60">
        <f>LE_IND!AD372</f>
        <v>6.3739643280245035</v>
      </c>
      <c r="J420" s="50">
        <f>LE_ZAF!AD372</f>
        <v>6.2735500257972223</v>
      </c>
      <c r="L420" s="20" t="s">
        <v>1221</v>
      </c>
      <c r="M420" s="47">
        <f t="shared" si="6"/>
        <v>1.7057419077532998E-2</v>
      </c>
      <c r="N420" s="60">
        <f t="shared" si="6"/>
        <v>2.1816814373629256E-2</v>
      </c>
      <c r="O420" s="50">
        <f t="shared" si="6"/>
        <v>3.038737292800775E-2</v>
      </c>
    </row>
    <row r="421" spans="2:15" x14ac:dyDescent="0.3">
      <c r="B421" s="20" t="s">
        <v>422</v>
      </c>
      <c r="C421" s="47">
        <f>LE_BRA!C373</f>
        <v>6.4090800287403136</v>
      </c>
      <c r="D421" s="60">
        <f>LE_IND!C373</f>
        <v>6.3410967326059717</v>
      </c>
      <c r="E421" s="50">
        <f>LE_ZAF!C373</f>
        <v>6.2316177130706158</v>
      </c>
      <c r="G421" s="20" t="s">
        <v>822</v>
      </c>
      <c r="H421" s="47">
        <f>LE_BRA!AD373</f>
        <v>6.3883249464695107</v>
      </c>
      <c r="I421" s="60">
        <f>LE_IND!AD373</f>
        <v>6.3162769696983769</v>
      </c>
      <c r="J421" s="50">
        <f>LE_ZAF!AD373</f>
        <v>6.196861658735819</v>
      </c>
      <c r="L421" s="20" t="s">
        <v>1222</v>
      </c>
      <c r="M421" s="47">
        <f t="shared" si="6"/>
        <v>2.0755082270802916E-2</v>
      </c>
      <c r="N421" s="60">
        <f t="shared" si="6"/>
        <v>2.48197629075948E-2</v>
      </c>
      <c r="O421" s="50">
        <f t="shared" si="6"/>
        <v>3.4756054334796893E-2</v>
      </c>
    </row>
    <row r="422" spans="2:15" x14ac:dyDescent="0.3">
      <c r="B422" s="20" t="s">
        <v>423</v>
      </c>
      <c r="C422" s="47">
        <f>LE_BRA!C374</f>
        <v>6.3404526848546636</v>
      </c>
      <c r="D422" s="60">
        <f>LE_IND!C374</f>
        <v>6.260441042265974</v>
      </c>
      <c r="E422" s="50">
        <f>LE_ZAF!C374</f>
        <v>6.1244312158495742</v>
      </c>
      <c r="G422" s="20" t="s">
        <v>823</v>
      </c>
      <c r="H422" s="47">
        <f>LE_BRA!AD374</f>
        <v>6.3145914335131081</v>
      </c>
      <c r="I422" s="60">
        <f>LE_IND!AD374</f>
        <v>6.2303012672027753</v>
      </c>
      <c r="J422" s="50">
        <f>LE_ZAF!AD374</f>
        <v>6.0820804528280776</v>
      </c>
      <c r="L422" s="20" t="s">
        <v>1223</v>
      </c>
      <c r="M422" s="47">
        <f t="shared" si="6"/>
        <v>2.586125134155548E-2</v>
      </c>
      <c r="N422" s="60">
        <f t="shared" si="6"/>
        <v>3.0139775063198648E-2</v>
      </c>
      <c r="O422" s="50">
        <f t="shared" si="6"/>
        <v>4.235076302149654E-2</v>
      </c>
    </row>
    <row r="423" spans="2:15" x14ac:dyDescent="0.3">
      <c r="B423" s="20" t="s">
        <v>424</v>
      </c>
      <c r="C423" s="47">
        <f>LE_BRA!C375</f>
        <v>6.2587234849026752</v>
      </c>
      <c r="D423" s="60">
        <f>LE_IND!C375</f>
        <v>6.1595051453294518</v>
      </c>
      <c r="E423" s="50">
        <f>LE_ZAF!C375</f>
        <v>5.9894358385690127</v>
      </c>
      <c r="G423" s="20" t="s">
        <v>824</v>
      </c>
      <c r="H423" s="47">
        <f>LE_BRA!AD375</f>
        <v>6.2271289103605332</v>
      </c>
      <c r="I423" s="60">
        <f>LE_IND!AD375</f>
        <v>6.1228292848941583</v>
      </c>
      <c r="J423" s="50">
        <f>LE_ZAF!AD375</f>
        <v>5.9375996505285924</v>
      </c>
      <c r="L423" s="20" t="s">
        <v>1224</v>
      </c>
      <c r="M423" s="47">
        <f t="shared" si="6"/>
        <v>3.1594574542141984E-2</v>
      </c>
      <c r="N423" s="60">
        <f t="shared" si="6"/>
        <v>3.6675860435293473E-2</v>
      </c>
      <c r="O423" s="50">
        <f t="shared" si="6"/>
        <v>5.1836188040420339E-2</v>
      </c>
    </row>
    <row r="424" spans="2:15" x14ac:dyDescent="0.3">
      <c r="B424" s="20" t="s">
        <v>425</v>
      </c>
      <c r="C424" s="47">
        <f>LE_BRA!C376</f>
        <v>6.1669143610094919</v>
      </c>
      <c r="D424" s="60">
        <f>LE_IND!C376</f>
        <v>6.038730392585598</v>
      </c>
      <c r="E424" s="50">
        <f>LE_ZAF!C376</f>
        <v>5.8287926704947601</v>
      </c>
      <c r="G424" s="20" t="s">
        <v>825</v>
      </c>
      <c r="H424" s="47">
        <f>LE_BRA!AD376</f>
        <v>6.1296632204473802</v>
      </c>
      <c r="I424" s="60">
        <f>LE_IND!AD376</f>
        <v>5.9947603357519821</v>
      </c>
      <c r="J424" s="50">
        <f>LE_ZAF!AD376</f>
        <v>5.7663158708625941</v>
      </c>
      <c r="L424" s="20" t="s">
        <v>1225</v>
      </c>
      <c r="M424" s="47">
        <f t="shared" si="6"/>
        <v>3.7251140562111651E-2</v>
      </c>
      <c r="N424" s="60">
        <f t="shared" si="6"/>
        <v>4.3970056833615878E-2</v>
      </c>
      <c r="O424" s="50">
        <f t="shared" si="6"/>
        <v>6.2476799632166014E-2</v>
      </c>
    </row>
    <row r="425" spans="2:15" x14ac:dyDescent="0.3">
      <c r="B425" s="20" t="s">
        <v>426</v>
      </c>
      <c r="C425" s="47">
        <f>LE_BRA!C377</f>
        <v>6.0566113548689513</v>
      </c>
      <c r="D425" s="60">
        <f>LE_IND!C377</f>
        <v>5.89180190489963</v>
      </c>
      <c r="E425" s="50">
        <f>LE_ZAF!C377</f>
        <v>5.6412810745706814</v>
      </c>
      <c r="G425" s="20" t="s">
        <v>826</v>
      </c>
      <c r="H425" s="47">
        <f>LE_BRA!AD377</f>
        <v>6.0130263720880395</v>
      </c>
      <c r="I425" s="60">
        <f>LE_IND!AD377</f>
        <v>5.8394327016380636</v>
      </c>
      <c r="J425" s="50">
        <f>LE_ZAF!AD377</f>
        <v>5.5673674637742492</v>
      </c>
      <c r="L425" s="20" t="s">
        <v>1226</v>
      </c>
      <c r="M425" s="47">
        <f t="shared" si="6"/>
        <v>4.358498278091183E-2</v>
      </c>
      <c r="N425" s="60">
        <f t="shared" si="6"/>
        <v>5.2369203261566355E-2</v>
      </c>
      <c r="O425" s="50">
        <f t="shared" si="6"/>
        <v>7.3913610796432216E-2</v>
      </c>
    </row>
    <row r="426" spans="2:15" x14ac:dyDescent="0.3">
      <c r="B426" s="20" t="s">
        <v>427</v>
      </c>
      <c r="C426" s="47">
        <f>LE_BRA!C378</f>
        <v>5.9176034764175256</v>
      </c>
      <c r="D426" s="60">
        <f>LE_IND!C378</f>
        <v>5.7100052028789028</v>
      </c>
      <c r="E426" s="50">
        <f>LE_ZAF!C378</f>
        <v>5.4250127138443904</v>
      </c>
      <c r="G426" s="20" t="s">
        <v>827</v>
      </c>
      <c r="H426" s="47">
        <f>LE_BRA!AD378</f>
        <v>5.8661206460199065</v>
      </c>
      <c r="I426" s="60">
        <f>LE_IND!AD378</f>
        <v>5.6475937554706404</v>
      </c>
      <c r="J426" s="50">
        <f>LE_ZAF!AD378</f>
        <v>5.3392210182796722</v>
      </c>
      <c r="L426" s="20" t="s">
        <v>1227</v>
      </c>
      <c r="M426" s="47">
        <f t="shared" si="6"/>
        <v>5.1482830397619139E-2</v>
      </c>
      <c r="N426" s="60">
        <f t="shared" si="6"/>
        <v>6.2411447408262433E-2</v>
      </c>
      <c r="O426" s="50">
        <f t="shared" si="6"/>
        <v>8.5791695564718218E-2</v>
      </c>
    </row>
    <row r="427" spans="2:15" x14ac:dyDescent="0.3">
      <c r="B427" s="20" t="s">
        <v>428</v>
      </c>
      <c r="C427" s="47">
        <f>LE_BRA!C379</f>
        <v>5.7467473557285063</v>
      </c>
      <c r="D427" s="60">
        <f>LE_IND!C379</f>
        <v>5.4889118227805662</v>
      </c>
      <c r="E427" s="50">
        <f>LE_ZAF!C379</f>
        <v>5.1809971433987565</v>
      </c>
      <c r="G427" s="20" t="s">
        <v>828</v>
      </c>
      <c r="H427" s="47">
        <f>LE_BRA!AD379</f>
        <v>5.6859702384283102</v>
      </c>
      <c r="I427" s="60">
        <f>LE_IND!AD379</f>
        <v>5.4149728919130231</v>
      </c>
      <c r="J427" s="50">
        <f>LE_ZAF!AD379</f>
        <v>5.0836777466364111</v>
      </c>
      <c r="L427" s="20" t="s">
        <v>1228</v>
      </c>
      <c r="M427" s="47">
        <f t="shared" si="6"/>
        <v>6.0777117300196082E-2</v>
      </c>
      <c r="N427" s="60">
        <f t="shared" si="6"/>
        <v>7.3938930867543107E-2</v>
      </c>
      <c r="O427" s="50">
        <f t="shared" si="6"/>
        <v>9.7319396762345356E-2</v>
      </c>
    </row>
    <row r="428" spans="2:15" x14ac:dyDescent="0.3">
      <c r="B428" s="20" t="s">
        <v>429</v>
      </c>
      <c r="C428" s="47">
        <f>LE_BRA!C380</f>
        <v>5.5387780223495779</v>
      </c>
      <c r="D428" s="60">
        <f>LE_IND!C380</f>
        <v>5.222745927687285</v>
      </c>
      <c r="E428" s="50">
        <f>LE_ZAF!C380</f>
        <v>4.9076973904019239</v>
      </c>
      <c r="G428" s="20" t="s">
        <v>829</v>
      </c>
      <c r="H428" s="47">
        <f>LE_BRA!AD380</f>
        <v>5.4673273413462127</v>
      </c>
      <c r="I428" s="60">
        <f>LE_IND!AD380</f>
        <v>5.1359193889744645</v>
      </c>
      <c r="J428" s="50">
        <f>LE_ZAF!AD380</f>
        <v>4.7997960445471861</v>
      </c>
      <c r="L428" s="20" t="s">
        <v>1229</v>
      </c>
      <c r="M428" s="47">
        <f t="shared" si="6"/>
        <v>7.1450681003365268E-2</v>
      </c>
      <c r="N428" s="60">
        <f t="shared" si="6"/>
        <v>8.6826538712820422E-2</v>
      </c>
      <c r="O428" s="50">
        <f t="shared" si="6"/>
        <v>0.10790134585473776</v>
      </c>
    </row>
    <row r="429" spans="2:15" x14ac:dyDescent="0.3">
      <c r="B429" s="20" t="s">
        <v>430</v>
      </c>
      <c r="C429" s="47">
        <f>LE_BRA!C381</f>
        <v>5.2891200694813119</v>
      </c>
      <c r="D429" s="60">
        <f>LE_IND!C381</f>
        <v>4.9055074584681426</v>
      </c>
      <c r="E429" s="50">
        <f>LE_ZAF!C381</f>
        <v>4.5941289568060881</v>
      </c>
      <c r="G429" s="20" t="s">
        <v>830</v>
      </c>
      <c r="H429" s="47">
        <f>LE_BRA!AD381</f>
        <v>5.205856045306394</v>
      </c>
      <c r="I429" s="60">
        <f>LE_IND!AD381</f>
        <v>4.8046581995756226</v>
      </c>
      <c r="J429" s="50">
        <f>LE_ZAF!AD381</f>
        <v>4.4761830606872985</v>
      </c>
      <c r="L429" s="20" t="s">
        <v>1230</v>
      </c>
      <c r="M429" s="47">
        <f t="shared" si="6"/>
        <v>8.326402417491785E-2</v>
      </c>
      <c r="N429" s="60">
        <f t="shared" si="6"/>
        <v>0.10084925889252006</v>
      </c>
      <c r="O429" s="50">
        <f t="shared" si="6"/>
        <v>0.11794589611878958</v>
      </c>
    </row>
    <row r="430" spans="2:15" x14ac:dyDescent="0.3">
      <c r="B430" s="20" t="s">
        <v>431</v>
      </c>
      <c r="C430" s="47">
        <f>LE_BRA!C382</f>
        <v>4.9950037832924998</v>
      </c>
      <c r="D430" s="60">
        <f>LE_IND!C382</f>
        <v>4.5386985751760349</v>
      </c>
      <c r="E430" s="50">
        <f>LE_ZAF!C382</f>
        <v>4.2363078278283472</v>
      </c>
      <c r="G430" s="20" t="s">
        <v>831</v>
      </c>
      <c r="H430" s="47">
        <f>LE_BRA!AD382</f>
        <v>4.8993888866124795</v>
      </c>
      <c r="I430" s="60">
        <f>LE_IND!AD382</f>
        <v>4.4238821382293176</v>
      </c>
      <c r="J430" s="50">
        <f>LE_ZAF!AD382</f>
        <v>4.1093909266938109</v>
      </c>
      <c r="L430" s="20" t="s">
        <v>1231</v>
      </c>
      <c r="M430" s="47">
        <f t="shared" si="6"/>
        <v>9.5614896680020323E-2</v>
      </c>
      <c r="N430" s="60">
        <f t="shared" si="6"/>
        <v>0.11481643694671728</v>
      </c>
      <c r="O430" s="50">
        <f t="shared" si="6"/>
        <v>0.12691690113453635</v>
      </c>
    </row>
    <row r="431" spans="2:15" x14ac:dyDescent="0.3">
      <c r="B431" s="20" t="s">
        <v>432</v>
      </c>
      <c r="C431" s="47">
        <f>LE_BRA!C383</f>
        <v>4.6505559314431171</v>
      </c>
      <c r="D431" s="60">
        <f>LE_IND!C383</f>
        <v>4.1262411306701239</v>
      </c>
      <c r="E431" s="50">
        <f>LE_ZAF!C383</f>
        <v>3.8285506828843778</v>
      </c>
      <c r="G431" s="20" t="s">
        <v>832</v>
      </c>
      <c r="H431" s="47">
        <f>LE_BRA!AD383</f>
        <v>4.5423981543274179</v>
      </c>
      <c r="I431" s="60">
        <f>LE_IND!AD383</f>
        <v>3.998946541570588</v>
      </c>
      <c r="J431" s="50">
        <f>LE_ZAF!AD383</f>
        <v>3.6941463907361465</v>
      </c>
      <c r="L431" s="20" t="s">
        <v>1232</v>
      </c>
      <c r="M431" s="47">
        <f t="shared" si="6"/>
        <v>0.10815777711569918</v>
      </c>
      <c r="N431" s="60">
        <f t="shared" si="6"/>
        <v>0.12729458909953584</v>
      </c>
      <c r="O431" s="50">
        <f t="shared" si="6"/>
        <v>0.13440429214823135</v>
      </c>
    </row>
    <row r="432" spans="2:15" x14ac:dyDescent="0.3">
      <c r="B432" s="20" t="s">
        <v>433</v>
      </c>
      <c r="C432" s="47">
        <f>LE_BRA!C384</f>
        <v>4.253148970072921</v>
      </c>
      <c r="D432" s="60">
        <f>LE_IND!C384</f>
        <v>3.6676434390881232</v>
      </c>
      <c r="E432" s="50">
        <f>LE_ZAF!C384</f>
        <v>3.3693688395521435</v>
      </c>
      <c r="G432" s="20" t="s">
        <v>833</v>
      </c>
      <c r="H432" s="47">
        <f>LE_BRA!AD384</f>
        <v>4.1330599700605282</v>
      </c>
      <c r="I432" s="60">
        <f>LE_IND!AD384</f>
        <v>3.5301351460737149</v>
      </c>
      <c r="J432" s="50">
        <f>LE_ZAF!AD384</f>
        <v>3.2296910382305706</v>
      </c>
      <c r="L432" s="20" t="s">
        <v>1233</v>
      </c>
      <c r="M432" s="47">
        <f t="shared" si="6"/>
        <v>0.12008900001239287</v>
      </c>
      <c r="N432" s="60">
        <f t="shared" si="6"/>
        <v>0.13750829301440826</v>
      </c>
      <c r="O432" s="50">
        <f t="shared" si="6"/>
        <v>0.13967780132157293</v>
      </c>
    </row>
    <row r="433" spans="2:15" x14ac:dyDescent="0.3">
      <c r="B433" s="20" t="s">
        <v>434</v>
      </c>
      <c r="C433" s="47">
        <f>LE_BRA!C385</f>
        <v>3.8064838080167207</v>
      </c>
      <c r="D433" s="60">
        <f>LE_IND!C385</f>
        <v>3.170550453222821</v>
      </c>
      <c r="E433" s="50">
        <f>LE_ZAF!C385</f>
        <v>2.871278502972193</v>
      </c>
      <c r="G433" s="20" t="s">
        <v>834</v>
      </c>
      <c r="H433" s="47">
        <f>LE_BRA!AD385</f>
        <v>3.6765514783933524</v>
      </c>
      <c r="I433" s="60">
        <f>LE_IND!AD385</f>
        <v>3.0263035866208812</v>
      </c>
      <c r="J433" s="50">
        <f>LE_ZAF!AD385</f>
        <v>2.7302982073853332</v>
      </c>
      <c r="L433" s="20" t="s">
        <v>1234</v>
      </c>
      <c r="M433" s="47">
        <f t="shared" si="6"/>
        <v>0.12993232962336831</v>
      </c>
      <c r="N433" s="60">
        <f t="shared" si="6"/>
        <v>0.14424686660193986</v>
      </c>
      <c r="O433" s="50">
        <f t="shared" si="6"/>
        <v>0.14098029558685976</v>
      </c>
    </row>
    <row r="434" spans="2:15" x14ac:dyDescent="0.3">
      <c r="B434" s="20" t="s">
        <v>435</v>
      </c>
      <c r="C434" s="47">
        <f>LE_BRA!C386</f>
        <v>3.3142349244774336</v>
      </c>
      <c r="D434" s="60">
        <f>LE_IND!C386</f>
        <v>2.6599573763255062</v>
      </c>
      <c r="E434" s="50">
        <f>LE_ZAF!C386</f>
        <v>2.3526747509038946</v>
      </c>
      <c r="G434" s="20" t="s">
        <v>835</v>
      </c>
      <c r="H434" s="47">
        <f>LE_BRA!AD386</f>
        <v>3.1778112099766274</v>
      </c>
      <c r="I434" s="60">
        <f>LE_IND!AD386</f>
        <v>2.5144585580536809</v>
      </c>
      <c r="J434" s="50">
        <f>LE_ZAF!AD386</f>
        <v>2.2158731594321806</v>
      </c>
      <c r="L434" s="20" t="s">
        <v>1235</v>
      </c>
      <c r="M434" s="47">
        <f t="shared" si="6"/>
        <v>0.13642371450080626</v>
      </c>
      <c r="N434" s="60">
        <f t="shared" si="6"/>
        <v>0.14549881827182531</v>
      </c>
      <c r="O434" s="50">
        <f t="shared" si="6"/>
        <v>0.136801591471714</v>
      </c>
    </row>
    <row r="435" spans="2:15" x14ac:dyDescent="0.3">
      <c r="B435" s="20" t="s">
        <v>436</v>
      </c>
      <c r="C435" s="47">
        <f>LE_BRA!C387</f>
        <v>2.5669093033263439</v>
      </c>
      <c r="D435" s="60">
        <f>LE_IND!C387</f>
        <v>1.9499535466011961</v>
      </c>
      <c r="E435" s="50">
        <f>LE_ZAF!C387</f>
        <v>1.6158414976807922</v>
      </c>
      <c r="G435" s="20" t="s">
        <v>836</v>
      </c>
      <c r="H435" s="47">
        <f>LE_BRA!AD387</f>
        <v>2.4295493109285</v>
      </c>
      <c r="I435" s="60">
        <f>LE_IND!AD387</f>
        <v>1.8122829647204339</v>
      </c>
      <c r="J435" s="50">
        <f>LE_ZAF!AD387</f>
        <v>1.4939554602204592</v>
      </c>
      <c r="L435" s="20" t="s">
        <v>1236</v>
      </c>
      <c r="M435" s="47">
        <f t="shared" si="6"/>
        <v>0.13735999239784391</v>
      </c>
      <c r="N435" s="60">
        <f t="shared" si="6"/>
        <v>0.1376705818807622</v>
      </c>
      <c r="O435" s="50">
        <f t="shared" si="6"/>
        <v>0.121886037460333</v>
      </c>
    </row>
    <row r="436" spans="2:15" x14ac:dyDescent="0.3">
      <c r="B436" s="20" t="s">
        <v>437</v>
      </c>
      <c r="C436" s="47">
        <f>LE_BRA!C388</f>
        <v>6.1550403118682064</v>
      </c>
      <c r="D436" s="60">
        <f>LE_IND!C388</f>
        <v>6.0932153410334253</v>
      </c>
      <c r="E436" s="50">
        <f>LE_ZAF!C388</f>
        <v>6.0065641908969267</v>
      </c>
      <c r="G436" s="20" t="s">
        <v>837</v>
      </c>
      <c r="H436" s="47">
        <f>LE_BRA!AD388</f>
        <v>6.1390043931987082</v>
      </c>
      <c r="I436" s="60">
        <f>LE_IND!AD388</f>
        <v>6.0726327088945196</v>
      </c>
      <c r="J436" s="50">
        <f>LE_ZAF!AD388</f>
        <v>5.977913849623147</v>
      </c>
      <c r="L436" s="20" t="s">
        <v>1237</v>
      </c>
      <c r="M436" s="47">
        <f t="shared" si="6"/>
        <v>1.6035918669498272E-2</v>
      </c>
      <c r="N436" s="60">
        <f t="shared" si="6"/>
        <v>2.0582632138905765E-2</v>
      </c>
      <c r="O436" s="50">
        <f t="shared" si="6"/>
        <v>2.8650341273779745E-2</v>
      </c>
    </row>
    <row r="437" spans="2:15" x14ac:dyDescent="0.3">
      <c r="B437" s="20" t="s">
        <v>438</v>
      </c>
      <c r="C437" s="47">
        <f>LE_BRA!C389</f>
        <v>6.1063617226588578</v>
      </c>
      <c r="D437" s="60">
        <f>LE_IND!C389</f>
        <v>6.0412201967492036</v>
      </c>
      <c r="E437" s="50">
        <f>LE_ZAF!C389</f>
        <v>5.9379483184202053</v>
      </c>
      <c r="G437" s="20" t="s">
        <v>838</v>
      </c>
      <c r="H437" s="47">
        <f>LE_BRA!AD389</f>
        <v>6.0868463561575998</v>
      </c>
      <c r="I437" s="60">
        <f>LE_IND!AD389</f>
        <v>6.017768918217925</v>
      </c>
      <c r="J437" s="50">
        <f>LE_ZAF!AD389</f>
        <v>5.9051495209599274</v>
      </c>
      <c r="L437" s="20" t="s">
        <v>1238</v>
      </c>
      <c r="M437" s="47">
        <f t="shared" si="6"/>
        <v>1.9515366501257958E-2</v>
      </c>
      <c r="N437" s="60">
        <f t="shared" si="6"/>
        <v>2.3451278531278597E-2</v>
      </c>
      <c r="O437" s="50">
        <f t="shared" si="6"/>
        <v>3.2798797460277918E-2</v>
      </c>
    </row>
    <row r="438" spans="2:15" x14ac:dyDescent="0.3">
      <c r="B438" s="20" t="s">
        <v>439</v>
      </c>
      <c r="C438" s="47">
        <f>LE_BRA!C390</f>
        <v>6.0415992923184154</v>
      </c>
      <c r="D438" s="60">
        <f>LE_IND!C390</f>
        <v>5.9647817228118392</v>
      </c>
      <c r="E438" s="50">
        <f>LE_ZAF!C390</f>
        <v>5.8364850712852814</v>
      </c>
      <c r="G438" s="20" t="s">
        <v>839</v>
      </c>
      <c r="H438" s="47">
        <f>LE_BRA!AD390</f>
        <v>6.0172787600925588</v>
      </c>
      <c r="I438" s="60">
        <f>LE_IND!AD390</f>
        <v>5.9362889335625395</v>
      </c>
      <c r="J438" s="50">
        <f>LE_ZAF!AD390</f>
        <v>5.7965070215194219</v>
      </c>
      <c r="L438" s="20" t="s">
        <v>1239</v>
      </c>
      <c r="M438" s="47">
        <f t="shared" si="6"/>
        <v>2.4320532225856617E-2</v>
      </c>
      <c r="N438" s="60">
        <f t="shared" si="6"/>
        <v>2.8492789249299655E-2</v>
      </c>
      <c r="O438" s="50">
        <f t="shared" si="6"/>
        <v>3.9978049765859502E-2</v>
      </c>
    </row>
    <row r="439" spans="2:15" x14ac:dyDescent="0.3">
      <c r="B439" s="20" t="s">
        <v>440</v>
      </c>
      <c r="C439" s="47">
        <f>LE_BRA!C391</f>
        <v>5.9643873168733155</v>
      </c>
      <c r="D439" s="60">
        <f>LE_IND!C391</f>
        <v>5.8691326584019272</v>
      </c>
      <c r="E439" s="50">
        <f>LE_ZAF!C391</f>
        <v>5.7087086875450739</v>
      </c>
      <c r="G439" s="20" t="s">
        <v>840</v>
      </c>
      <c r="H439" s="47">
        <f>LE_BRA!AD391</f>
        <v>5.9346624659791996</v>
      </c>
      <c r="I439" s="60">
        <f>LE_IND!AD391</f>
        <v>5.8344475512168801</v>
      </c>
      <c r="J439" s="50">
        <f>LE_ZAF!AD391</f>
        <v>5.6597664566723429</v>
      </c>
      <c r="L439" s="20" t="s">
        <v>1240</v>
      </c>
      <c r="M439" s="47">
        <f t="shared" si="6"/>
        <v>2.9724850894115917E-2</v>
      </c>
      <c r="N439" s="60">
        <f t="shared" si="6"/>
        <v>3.4685107185047137E-2</v>
      </c>
      <c r="O439" s="50">
        <f t="shared" si="6"/>
        <v>4.8942230872730974E-2</v>
      </c>
    </row>
    <row r="440" spans="2:15" x14ac:dyDescent="0.3">
      <c r="B440" s="20" t="s">
        <v>441</v>
      </c>
      <c r="C440" s="47">
        <f>LE_BRA!C392</f>
        <v>5.8774776094341181</v>
      </c>
      <c r="D440" s="60">
        <f>LE_IND!C392</f>
        <v>5.7546438542203058</v>
      </c>
      <c r="E440" s="50">
        <f>LE_ZAF!C392</f>
        <v>5.5565725715657672</v>
      </c>
      <c r="G440" s="20" t="s">
        <v>841</v>
      </c>
      <c r="H440" s="47">
        <f>LE_BRA!AD392</f>
        <v>5.8424020454997549</v>
      </c>
      <c r="I440" s="60">
        <f>LE_IND!AD392</f>
        <v>5.7130438253327096</v>
      </c>
      <c r="J440" s="50">
        <f>LE_ZAF!AD392</f>
        <v>5.4975675932608326</v>
      </c>
      <c r="L440" s="20" t="s">
        <v>1241</v>
      </c>
      <c r="M440" s="47">
        <f t="shared" si="6"/>
        <v>3.5075563934363174E-2</v>
      </c>
      <c r="N440" s="60">
        <f t="shared" si="6"/>
        <v>4.1600028887596174E-2</v>
      </c>
      <c r="O440" s="50">
        <f t="shared" si="6"/>
        <v>5.9004978304934674E-2</v>
      </c>
    </row>
    <row r="441" spans="2:15" x14ac:dyDescent="0.3">
      <c r="B441" s="20" t="s">
        <v>442</v>
      </c>
      <c r="C441" s="47">
        <f>LE_BRA!C393</f>
        <v>5.772984044306253</v>
      </c>
      <c r="D441" s="60">
        <f>LE_IND!C393</f>
        <v>5.6153276073654954</v>
      </c>
      <c r="E441" s="50">
        <f>LE_ZAF!C393</f>
        <v>5.3787746422748954</v>
      </c>
      <c r="G441" s="20" t="s">
        <v>842</v>
      </c>
      <c r="H441" s="47">
        <f>LE_BRA!AD393</f>
        <v>5.7319086593900259</v>
      </c>
      <c r="I441" s="60">
        <f>LE_IND!AD393</f>
        <v>5.5657614463844158</v>
      </c>
      <c r="J441" s="50">
        <f>LE_ZAF!AD393</f>
        <v>5.3089326608112168</v>
      </c>
      <c r="L441" s="20" t="s">
        <v>1242</v>
      </c>
      <c r="M441" s="47">
        <f t="shared" si="6"/>
        <v>4.1075384916227087E-2</v>
      </c>
      <c r="N441" s="60">
        <f t="shared" si="6"/>
        <v>4.9566160981079577E-2</v>
      </c>
      <c r="O441" s="50">
        <f t="shared" si="6"/>
        <v>6.9841981463678593E-2</v>
      </c>
    </row>
    <row r="442" spans="2:15" x14ac:dyDescent="0.3">
      <c r="B442" s="20" t="s">
        <v>443</v>
      </c>
      <c r="C442" s="47">
        <f>LE_BRA!C394</f>
        <v>5.6413145882457911</v>
      </c>
      <c r="D442" s="60">
        <f>LE_IND!C394</f>
        <v>5.4429224848311</v>
      </c>
      <c r="E442" s="50">
        <f>LE_ZAF!C394</f>
        <v>5.1733840196898999</v>
      </c>
      <c r="G442" s="20" t="s">
        <v>843</v>
      </c>
      <c r="H442" s="47">
        <f>LE_BRA!AD394</f>
        <v>5.5927613255140081</v>
      </c>
      <c r="I442" s="60">
        <f>LE_IND!AD394</f>
        <v>5.3838293373126591</v>
      </c>
      <c r="J442" s="50">
        <f>LE_ZAF!AD394</f>
        <v>5.0922535360203982</v>
      </c>
      <c r="L442" s="20" t="s">
        <v>1243</v>
      </c>
      <c r="M442" s="47">
        <f t="shared" si="6"/>
        <v>4.8553262731783065E-2</v>
      </c>
      <c r="N442" s="60">
        <f t="shared" si="6"/>
        <v>5.9093147518440858E-2</v>
      </c>
      <c r="O442" s="50">
        <f t="shared" si="6"/>
        <v>8.1130483669501707E-2</v>
      </c>
    </row>
    <row r="443" spans="2:15" x14ac:dyDescent="0.3">
      <c r="B443" s="20" t="s">
        <v>444</v>
      </c>
      <c r="C443" s="47">
        <f>LE_BRA!C395</f>
        <v>5.4794316261328211</v>
      </c>
      <c r="D443" s="60">
        <f>LE_IND!C395</f>
        <v>5.2331756655229285</v>
      </c>
      <c r="E443" s="50">
        <f>LE_ZAF!C395</f>
        <v>4.9412526827715224</v>
      </c>
      <c r="G443" s="20" t="s">
        <v>844</v>
      </c>
      <c r="H443" s="47">
        <f>LE_BRA!AD395</f>
        <v>5.422074584394819</v>
      </c>
      <c r="I443" s="60">
        <f>LE_IND!AD395</f>
        <v>5.1631386491762958</v>
      </c>
      <c r="J443" s="50">
        <f>LE_ZAF!AD395</f>
        <v>4.8491256740127779</v>
      </c>
      <c r="L443" s="20" t="s">
        <v>1244</v>
      </c>
      <c r="M443" s="47">
        <f t="shared" si="6"/>
        <v>5.7357041738002046E-2</v>
      </c>
      <c r="N443" s="60">
        <f t="shared" si="6"/>
        <v>7.0037016346632619E-2</v>
      </c>
      <c r="O443" s="50">
        <f t="shared" si="6"/>
        <v>9.2127008758744466E-2</v>
      </c>
    </row>
    <row r="444" spans="2:15" x14ac:dyDescent="0.3">
      <c r="B444" s="20" t="s">
        <v>445</v>
      </c>
      <c r="C444" s="47">
        <f>LE_BRA!C396</f>
        <v>5.2823081503536748</v>
      </c>
      <c r="D444" s="60">
        <f>LE_IND!C396</f>
        <v>4.9805569810001895</v>
      </c>
      <c r="E444" s="50">
        <f>LE_ZAF!C396</f>
        <v>4.6808901347641454</v>
      </c>
      <c r="G444" s="20" t="s">
        <v>845</v>
      </c>
      <c r="H444" s="47">
        <f>LE_BRA!AD396</f>
        <v>5.2148345412325465</v>
      </c>
      <c r="I444" s="60">
        <f>LE_IND!AD396</f>
        <v>4.8982731577818024</v>
      </c>
      <c r="J444" s="50">
        <f>LE_ZAF!AD396</f>
        <v>4.5786246508977415</v>
      </c>
      <c r="L444" s="20" t="s">
        <v>1245</v>
      </c>
      <c r="M444" s="47">
        <f t="shared" si="6"/>
        <v>6.747360912112832E-2</v>
      </c>
      <c r="N444" s="60">
        <f t="shared" si="6"/>
        <v>8.228382321838712E-2</v>
      </c>
      <c r="O444" s="50">
        <f t="shared" si="6"/>
        <v>0.10226548386640388</v>
      </c>
    </row>
    <row r="445" spans="2:15" x14ac:dyDescent="0.3">
      <c r="B445" s="20" t="s">
        <v>446</v>
      </c>
      <c r="C445" s="47">
        <f>LE_BRA!C397</f>
        <v>5.0455442375004731</v>
      </c>
      <c r="D445" s="60">
        <f>LE_IND!C397</f>
        <v>4.6793325390264977</v>
      </c>
      <c r="E445" s="50">
        <f>LE_ZAF!C397</f>
        <v>4.3820244466172253</v>
      </c>
      <c r="G445" s="20" t="s">
        <v>846</v>
      </c>
      <c r="H445" s="47">
        <f>LE_BRA!AD397</f>
        <v>4.9668632999480096</v>
      </c>
      <c r="I445" s="60">
        <f>LE_IND!AD397</f>
        <v>4.583710387052979</v>
      </c>
      <c r="J445" s="50">
        <f>LE_ZAF!AD397</f>
        <v>4.2701128205916197</v>
      </c>
      <c r="L445" s="20" t="s">
        <v>1246</v>
      </c>
      <c r="M445" s="47">
        <f t="shared" si="6"/>
        <v>7.8680937552463526E-2</v>
      </c>
      <c r="N445" s="60">
        <f t="shared" si="6"/>
        <v>9.5622151973518754E-2</v>
      </c>
      <c r="O445" s="50">
        <f t="shared" si="6"/>
        <v>0.11191162602560567</v>
      </c>
    </row>
    <row r="446" spans="2:15" x14ac:dyDescent="0.3">
      <c r="B446" s="20" t="s">
        <v>447</v>
      </c>
      <c r="C446" s="47">
        <f>LE_BRA!C398</f>
        <v>4.7663972351969282</v>
      </c>
      <c r="D446" s="60">
        <f>LE_IND!C398</f>
        <v>4.3308096523511788</v>
      </c>
      <c r="E446" s="50">
        <f>LE_ZAF!C398</f>
        <v>4.0409050318823567</v>
      </c>
      <c r="G446" s="20" t="s">
        <v>847</v>
      </c>
      <c r="H446" s="47">
        <f>LE_BRA!AD398</f>
        <v>4.6759797388675208</v>
      </c>
      <c r="I446" s="60">
        <f>LE_IND!AD398</f>
        <v>4.2218796069401279</v>
      </c>
      <c r="J446" s="50">
        <f>LE_ZAF!AD398</f>
        <v>3.9203565422618012</v>
      </c>
      <c r="L446" s="20" t="s">
        <v>1247</v>
      </c>
      <c r="M446" s="47">
        <f t="shared" si="6"/>
        <v>9.0417496329407321E-2</v>
      </c>
      <c r="N446" s="60">
        <f t="shared" si="6"/>
        <v>0.10893004541105089</v>
      </c>
      <c r="O446" s="50">
        <f t="shared" si="6"/>
        <v>0.12054848962055553</v>
      </c>
    </row>
    <row r="447" spans="2:15" x14ac:dyDescent="0.3">
      <c r="B447" s="20" t="s">
        <v>448</v>
      </c>
      <c r="C447" s="47">
        <f>LE_BRA!C399</f>
        <v>4.4391969660565858</v>
      </c>
      <c r="D447" s="60">
        <f>LE_IND!C399</f>
        <v>3.938578260174364</v>
      </c>
      <c r="E447" s="50">
        <f>LE_ZAF!C399</f>
        <v>3.6521849829996316</v>
      </c>
      <c r="G447" s="20" t="s">
        <v>848</v>
      </c>
      <c r="H447" s="47">
        <f>LE_BRA!AD399</f>
        <v>4.3368364000152493</v>
      </c>
      <c r="I447" s="60">
        <f>LE_IND!AD399</f>
        <v>3.8177253490582577</v>
      </c>
      <c r="J447" s="50">
        <f>LE_ZAF!AD399</f>
        <v>3.5244073021768894</v>
      </c>
      <c r="L447" s="20" t="s">
        <v>1248</v>
      </c>
      <c r="M447" s="47">
        <f t="shared" si="6"/>
        <v>0.10236056604133648</v>
      </c>
      <c r="N447" s="60">
        <f t="shared" si="6"/>
        <v>0.1208529111161063</v>
      </c>
      <c r="O447" s="50">
        <f t="shared" si="6"/>
        <v>0.12777768082274221</v>
      </c>
    </row>
    <row r="448" spans="2:15" x14ac:dyDescent="0.3">
      <c r="B448" s="20" t="s">
        <v>449</v>
      </c>
      <c r="C448" s="47">
        <f>LE_BRA!C400</f>
        <v>4.0612827903119673</v>
      </c>
      <c r="D448" s="60">
        <f>LE_IND!C400</f>
        <v>3.5021092813929711</v>
      </c>
      <c r="E448" s="50">
        <f>LE_ZAF!C400</f>
        <v>3.214504450733068</v>
      </c>
      <c r="G448" s="20" t="s">
        <v>849</v>
      </c>
      <c r="H448" s="47">
        <f>LE_BRA!AD400</f>
        <v>3.9475270731292618</v>
      </c>
      <c r="I448" s="60">
        <f>LE_IND!AD400</f>
        <v>3.3714602093171315</v>
      </c>
      <c r="J448" s="50">
        <f>LE_ZAF!AD400</f>
        <v>3.0816090676321273</v>
      </c>
      <c r="L448" s="20" t="s">
        <v>1249</v>
      </c>
      <c r="M448" s="47">
        <f t="shared" si="6"/>
        <v>0.1137557171827055</v>
      </c>
      <c r="N448" s="60">
        <f t="shared" si="6"/>
        <v>0.13064907207583953</v>
      </c>
      <c r="O448" s="50">
        <f t="shared" si="6"/>
        <v>0.13289538310094073</v>
      </c>
    </row>
    <row r="449" spans="2:15" x14ac:dyDescent="0.3">
      <c r="B449" s="20" t="s">
        <v>450</v>
      </c>
      <c r="C449" s="47">
        <f>LE_BRA!C401</f>
        <v>3.6359432532937581</v>
      </c>
      <c r="D449" s="60">
        <f>LE_IND!C401</f>
        <v>3.0285557752678476</v>
      </c>
      <c r="E449" s="50">
        <f>LE_ZAF!C401</f>
        <v>2.7397287595800677</v>
      </c>
      <c r="G449" s="20" t="s">
        <v>850</v>
      </c>
      <c r="H449" s="47">
        <f>LE_BRA!AD401</f>
        <v>3.5127334753344339</v>
      </c>
      <c r="I449" s="60">
        <f>LE_IND!AD401</f>
        <v>2.8913932057335714</v>
      </c>
      <c r="J449" s="50">
        <f>LE_ZAF!AD401</f>
        <v>2.6054985732682145</v>
      </c>
      <c r="L449" s="20" t="s">
        <v>1250</v>
      </c>
      <c r="M449" s="47">
        <f t="shared" si="6"/>
        <v>0.1232097779593242</v>
      </c>
      <c r="N449" s="60">
        <f t="shared" si="6"/>
        <v>0.13716256953427619</v>
      </c>
      <c r="O449" s="50">
        <f t="shared" si="6"/>
        <v>0.13423018631185313</v>
      </c>
    </row>
    <row r="450" spans="2:15" x14ac:dyDescent="0.3">
      <c r="B450" s="20" t="s">
        <v>451</v>
      </c>
      <c r="C450" s="47">
        <f>LE_BRA!C402</f>
        <v>3.1666263187107995</v>
      </c>
      <c r="D450" s="60">
        <f>LE_IND!C402</f>
        <v>2.5415918107044959</v>
      </c>
      <c r="E450" s="50">
        <f>LE_ZAF!C402</f>
        <v>2.2454088018233498</v>
      </c>
      <c r="G450" s="20" t="s">
        <v>851</v>
      </c>
      <c r="H450" s="47">
        <f>LE_BRA!AD402</f>
        <v>3.0371201025844128</v>
      </c>
      <c r="I450" s="60">
        <f>LE_IND!AD402</f>
        <v>2.4031267486009762</v>
      </c>
      <c r="J450" s="50">
        <f>LE_ZAF!AD402</f>
        <v>2.1150713691791729</v>
      </c>
      <c r="L450" s="20" t="s">
        <v>1251</v>
      </c>
      <c r="M450" s="47">
        <f t="shared" si="6"/>
        <v>0.12950621612638669</v>
      </c>
      <c r="N450" s="60">
        <f t="shared" si="6"/>
        <v>0.13846506210351972</v>
      </c>
      <c r="O450" s="50">
        <f t="shared" si="6"/>
        <v>0.13033743264417685</v>
      </c>
    </row>
    <row r="451" spans="2:15" x14ac:dyDescent="0.3">
      <c r="B451" s="21" t="s">
        <v>452</v>
      </c>
      <c r="C451" s="48">
        <f>LE_BRA!C403</f>
        <v>2.453160281470943</v>
      </c>
      <c r="D451" s="62">
        <f>LE_IND!C403</f>
        <v>1.86356868471905</v>
      </c>
      <c r="E451" s="51">
        <f>LE_ZAF!C403</f>
        <v>1.543123763319602</v>
      </c>
      <c r="G451" s="21" t="s">
        <v>852</v>
      </c>
      <c r="H451" s="48">
        <f>LE_BRA!AD403</f>
        <v>2.3225855090278444</v>
      </c>
      <c r="I451" s="62">
        <f>LE_IND!AD403</f>
        <v>1.7324163568687612</v>
      </c>
      <c r="J451" s="51">
        <f>LE_ZAF!AD403</f>
        <v>1.4268913081914967</v>
      </c>
      <c r="L451" s="21" t="s">
        <v>1252</v>
      </c>
      <c r="M451" s="48">
        <f t="shared" si="6"/>
        <v>0.13057477244309856</v>
      </c>
      <c r="N451" s="62">
        <f t="shared" si="6"/>
        <v>0.13115232785028885</v>
      </c>
      <c r="O451" s="51">
        <f t="shared" si="6"/>
        <v>0.11623245512810532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AE96-7249-4336-999A-48E0D8C77F3E}">
  <dimension ref="A1:BB403"/>
  <sheetViews>
    <sheetView workbookViewId="0">
      <selection activeCell="C21" sqref="C21"/>
    </sheetView>
  </sheetViews>
  <sheetFormatPr defaultColWidth="8.77734375" defaultRowHeight="14.4" x14ac:dyDescent="0.3"/>
  <cols>
    <col min="2" max="2" width="18.44140625" customWidth="1"/>
    <col min="3" max="3" width="12.77734375" customWidth="1"/>
    <col min="4" max="27" width="5" customWidth="1"/>
    <col min="29" max="29" width="17.44140625" bestFit="1" customWidth="1"/>
    <col min="30" max="30" width="12.77734375" customWidth="1"/>
    <col min="31" max="54" width="5" customWidth="1"/>
  </cols>
  <sheetData>
    <row r="1" spans="1:54" x14ac:dyDescent="0.3">
      <c r="A1" s="1" t="s">
        <v>1260</v>
      </c>
      <c r="C1" s="1" t="s">
        <v>5</v>
      </c>
      <c r="AC1" t="s">
        <v>1261</v>
      </c>
      <c r="AD1" t="s">
        <v>1263</v>
      </c>
    </row>
    <row r="2" spans="1:54" x14ac:dyDescent="0.3">
      <c r="B2" t="s">
        <v>1255</v>
      </c>
      <c r="C2" s="2" t="s">
        <v>1266</v>
      </c>
      <c r="D2" t="s">
        <v>1267</v>
      </c>
      <c r="E2" t="s">
        <v>1268</v>
      </c>
      <c r="F2" t="s">
        <v>1269</v>
      </c>
      <c r="G2" t="s">
        <v>1270</v>
      </c>
      <c r="H2" t="s">
        <v>1271</v>
      </c>
      <c r="I2" t="s">
        <v>1272</v>
      </c>
      <c r="J2" t="s">
        <v>1273</v>
      </c>
      <c r="K2" t="s">
        <v>1274</v>
      </c>
      <c r="L2" t="s">
        <v>1281</v>
      </c>
      <c r="M2" t="s">
        <v>1282</v>
      </c>
      <c r="N2" t="s">
        <v>1283</v>
      </c>
      <c r="O2" t="s">
        <v>1284</v>
      </c>
      <c r="P2" t="s">
        <v>1285</v>
      </c>
      <c r="Q2" t="s">
        <v>1286</v>
      </c>
      <c r="R2" t="s">
        <v>1287</v>
      </c>
      <c r="S2" t="s">
        <v>1288</v>
      </c>
      <c r="T2" t="s">
        <v>1289</v>
      </c>
      <c r="U2" t="s">
        <v>1290</v>
      </c>
      <c r="V2" t="s">
        <v>1275</v>
      </c>
      <c r="W2" t="s">
        <v>1276</v>
      </c>
      <c r="X2" t="s">
        <v>1277</v>
      </c>
      <c r="Y2" t="s">
        <v>1278</v>
      </c>
      <c r="Z2" t="s">
        <v>1279</v>
      </c>
      <c r="AA2" t="s">
        <v>1280</v>
      </c>
      <c r="AC2" t="s">
        <v>1254</v>
      </c>
      <c r="AD2" s="2" t="s">
        <v>1266</v>
      </c>
      <c r="AE2" t="s">
        <v>1267</v>
      </c>
      <c r="AF2" t="s">
        <v>1268</v>
      </c>
      <c r="AG2" t="s">
        <v>1269</v>
      </c>
      <c r="AH2" t="s">
        <v>1270</v>
      </c>
      <c r="AI2" t="s">
        <v>1271</v>
      </c>
      <c r="AJ2" t="s">
        <v>1272</v>
      </c>
      <c r="AK2" t="s">
        <v>1273</v>
      </c>
      <c r="AL2" t="s">
        <v>1274</v>
      </c>
      <c r="AM2" t="s">
        <v>1281</v>
      </c>
      <c r="AN2" t="s">
        <v>1282</v>
      </c>
      <c r="AO2" t="s">
        <v>1283</v>
      </c>
      <c r="AP2" t="s">
        <v>1284</v>
      </c>
      <c r="AQ2" t="s">
        <v>1285</v>
      </c>
      <c r="AR2" t="s">
        <v>1286</v>
      </c>
      <c r="AS2" t="s">
        <v>1287</v>
      </c>
      <c r="AT2" t="s">
        <v>1288</v>
      </c>
      <c r="AU2" t="s">
        <v>1289</v>
      </c>
      <c r="AV2" t="s">
        <v>1290</v>
      </c>
      <c r="AW2" t="s">
        <v>1275</v>
      </c>
      <c r="AX2" t="s">
        <v>1276</v>
      </c>
      <c r="AY2" t="s">
        <v>1277</v>
      </c>
      <c r="AZ2" t="s">
        <v>1278</v>
      </c>
      <c r="BA2" t="s">
        <v>1279</v>
      </c>
      <c r="BB2" t="s">
        <v>1280</v>
      </c>
    </row>
    <row r="3" spans="1:54" x14ac:dyDescent="0.3">
      <c r="C3">
        <v>2025</v>
      </c>
      <c r="D3">
        <v>2026</v>
      </c>
      <c r="E3">
        <v>2027</v>
      </c>
      <c r="F3">
        <v>2028</v>
      </c>
      <c r="G3">
        <v>2029</v>
      </c>
      <c r="H3">
        <v>2030</v>
      </c>
      <c r="I3">
        <v>2031</v>
      </c>
      <c r="J3">
        <v>2032</v>
      </c>
      <c r="K3">
        <v>2033</v>
      </c>
      <c r="L3">
        <v>2034</v>
      </c>
      <c r="M3">
        <v>2035</v>
      </c>
      <c r="N3">
        <v>2036</v>
      </c>
      <c r="O3">
        <v>2037</v>
      </c>
      <c r="P3">
        <v>2038</v>
      </c>
      <c r="Q3">
        <v>2039</v>
      </c>
      <c r="R3">
        <v>2040</v>
      </c>
      <c r="S3">
        <v>2041</v>
      </c>
      <c r="T3">
        <v>2042</v>
      </c>
      <c r="U3">
        <v>2043</v>
      </c>
      <c r="V3">
        <v>2044</v>
      </c>
      <c r="W3">
        <v>2045</v>
      </c>
      <c r="X3">
        <v>2046</v>
      </c>
      <c r="Y3">
        <v>2047</v>
      </c>
      <c r="Z3">
        <v>2048</v>
      </c>
      <c r="AA3">
        <v>2049</v>
      </c>
      <c r="AD3">
        <v>2025</v>
      </c>
      <c r="AE3">
        <v>2026</v>
      </c>
      <c r="AF3">
        <v>2027</v>
      </c>
      <c r="AG3">
        <v>2028</v>
      </c>
      <c r="AH3">
        <v>2029</v>
      </c>
      <c r="AI3">
        <v>2030</v>
      </c>
      <c r="AJ3">
        <v>2031</v>
      </c>
      <c r="AK3">
        <v>2032</v>
      </c>
      <c r="AL3">
        <v>2033</v>
      </c>
      <c r="AM3">
        <v>2034</v>
      </c>
      <c r="AN3">
        <v>2035</v>
      </c>
      <c r="AO3">
        <v>2036</v>
      </c>
      <c r="AP3">
        <v>2037</v>
      </c>
      <c r="AQ3">
        <v>2038</v>
      </c>
      <c r="AR3">
        <v>2039</v>
      </c>
      <c r="AS3">
        <v>2040</v>
      </c>
      <c r="AT3">
        <v>2041</v>
      </c>
      <c r="AU3">
        <v>2042</v>
      </c>
      <c r="AV3">
        <v>2043</v>
      </c>
      <c r="AW3">
        <v>2044</v>
      </c>
      <c r="AX3">
        <v>2045</v>
      </c>
      <c r="AY3">
        <v>2046</v>
      </c>
      <c r="AZ3">
        <v>2047</v>
      </c>
      <c r="BA3">
        <v>2048</v>
      </c>
      <c r="BB3">
        <v>2049</v>
      </c>
    </row>
    <row r="4" spans="1:54" x14ac:dyDescent="0.3">
      <c r="B4" s="37" t="s">
        <v>53</v>
      </c>
      <c r="C4">
        <v>19.657236439744349</v>
      </c>
      <c r="D4">
        <v>19.666260880825138</v>
      </c>
      <c r="E4">
        <v>19.675314369993199</v>
      </c>
      <c r="F4">
        <v>19.684397137300792</v>
      </c>
      <c r="G4">
        <v>19.693015455596228</v>
      </c>
      <c r="H4">
        <v>19.701661342296514</v>
      </c>
      <c r="I4">
        <v>19.710335014439703</v>
      </c>
      <c r="J4">
        <v>19.719036691407929</v>
      </c>
      <c r="K4">
        <v>19.727766594956325</v>
      </c>
      <c r="L4">
        <v>19.735879450739503</v>
      </c>
      <c r="M4">
        <v>19.744018151794819</v>
      </c>
      <c r="N4">
        <v>19.752182900876171</v>
      </c>
      <c r="O4">
        <v>19.760373902924144</v>
      </c>
      <c r="P4">
        <v>19.76859136509302</v>
      </c>
      <c r="Q4">
        <v>19.776324513815805</v>
      </c>
      <c r="R4">
        <v>19.784082394116858</v>
      </c>
      <c r="S4">
        <v>19.791865200346798</v>
      </c>
      <c r="T4">
        <v>19.799673128955323</v>
      </c>
      <c r="U4">
        <v>19.807506378517175</v>
      </c>
      <c r="V4">
        <v>19.81477062514411</v>
      </c>
      <c r="W4">
        <v>19.822058755144273</v>
      </c>
      <c r="X4">
        <v>19.829370963414345</v>
      </c>
      <c r="Y4">
        <v>19.836707447034133</v>
      </c>
      <c r="Z4">
        <v>19.844068405294657</v>
      </c>
      <c r="AA4">
        <v>19.850620163361711</v>
      </c>
      <c r="AC4" s="37" t="s">
        <v>453</v>
      </c>
      <c r="AD4">
        <v>19.585418726440412</v>
      </c>
      <c r="AE4">
        <v>19.595375499476493</v>
      </c>
      <c r="AF4">
        <v>19.6053666217061</v>
      </c>
      <c r="AG4">
        <v>19.615392388427871</v>
      </c>
      <c r="AH4">
        <v>19.624901085288535</v>
      </c>
      <c r="AI4">
        <v>19.634442373432027</v>
      </c>
      <c r="AJ4">
        <v>19.644016531111401</v>
      </c>
      <c r="AK4">
        <v>19.653623839892095</v>
      </c>
      <c r="AL4">
        <v>19.66326458469743</v>
      </c>
      <c r="AM4">
        <v>19.672217446951091</v>
      </c>
      <c r="AN4">
        <v>19.681200870485231</v>
      </c>
      <c r="AO4">
        <v>19.690215115222127</v>
      </c>
      <c r="AP4">
        <v>19.699260444172218</v>
      </c>
      <c r="AQ4">
        <v>19.708337123476646</v>
      </c>
      <c r="AR4">
        <v>19.71687357586779</v>
      </c>
      <c r="AS4">
        <v>19.725439294245476</v>
      </c>
      <c r="AT4">
        <v>19.734034528014142</v>
      </c>
      <c r="AU4">
        <v>19.742659529545662</v>
      </c>
      <c r="AV4">
        <v>19.751314554220372</v>
      </c>
      <c r="AW4">
        <v>19.759329943334876</v>
      </c>
      <c r="AX4">
        <v>19.767373545045107</v>
      </c>
      <c r="AY4">
        <v>19.775445608969747</v>
      </c>
      <c r="AZ4">
        <v>19.783546387807913</v>
      </c>
      <c r="BA4">
        <v>19.791676137383369</v>
      </c>
      <c r="BB4">
        <v>19.798902722963312</v>
      </c>
    </row>
    <row r="5" spans="1:54" x14ac:dyDescent="0.3">
      <c r="B5" s="38" t="s">
        <v>54</v>
      </c>
      <c r="C5">
        <v>19.464499071997231</v>
      </c>
      <c r="D5">
        <v>19.474957115521338</v>
      </c>
      <c r="E5">
        <v>19.485451266041768</v>
      </c>
      <c r="F5">
        <v>19.495981812458115</v>
      </c>
      <c r="G5">
        <v>19.506083001271413</v>
      </c>
      <c r="H5">
        <v>19.516218590820728</v>
      </c>
      <c r="I5">
        <v>19.52638885433916</v>
      </c>
      <c r="J5">
        <v>19.536594068011677</v>
      </c>
      <c r="K5">
        <v>19.546834511011614</v>
      </c>
      <c r="L5">
        <v>19.556447970779395</v>
      </c>
      <c r="M5">
        <v>19.566093806516083</v>
      </c>
      <c r="N5">
        <v>19.575772274096181</v>
      </c>
      <c r="O5">
        <v>19.585483632154482</v>
      </c>
      <c r="P5">
        <v>19.595228142120298</v>
      </c>
      <c r="Q5">
        <v>19.604459338314136</v>
      </c>
      <c r="R5">
        <v>19.613721597628764</v>
      </c>
      <c r="S5">
        <v>19.623015165730386</v>
      </c>
      <c r="T5">
        <v>19.632340290939183</v>
      </c>
      <c r="U5">
        <v>19.641697224262131</v>
      </c>
      <c r="V5">
        <v>19.650425429955781</v>
      </c>
      <c r="W5">
        <v>19.659183718366219</v>
      </c>
      <c r="X5">
        <v>19.667972336302928</v>
      </c>
      <c r="Y5">
        <v>19.676791533340499</v>
      </c>
      <c r="Z5">
        <v>19.685641561854279</v>
      </c>
      <c r="AA5">
        <v>19.693626848042577</v>
      </c>
      <c r="AC5" s="38" t="s">
        <v>454</v>
      </c>
      <c r="AD5">
        <v>19.378275981866121</v>
      </c>
      <c r="AE5">
        <v>19.389782510821117</v>
      </c>
      <c r="AF5">
        <v>19.401331670970102</v>
      </c>
      <c r="AG5">
        <v>19.412923832906415</v>
      </c>
      <c r="AH5">
        <v>19.424041450890005</v>
      </c>
      <c r="AI5">
        <v>19.43519968439594</v>
      </c>
      <c r="AJ5">
        <v>19.446398883525976</v>
      </c>
      <c r="AK5">
        <v>19.457639402551962</v>
      </c>
      <c r="AL5">
        <v>19.468921599972923</v>
      </c>
      <c r="AM5">
        <v>19.479508030672136</v>
      </c>
      <c r="AN5">
        <v>19.490132703953364</v>
      </c>
      <c r="AO5">
        <v>19.500795947687337</v>
      </c>
      <c r="AP5">
        <v>19.511498093642249</v>
      </c>
      <c r="AQ5">
        <v>19.522239477537337</v>
      </c>
      <c r="AR5">
        <v>19.532410306931077</v>
      </c>
      <c r="AS5">
        <v>19.542617861247418</v>
      </c>
      <c r="AT5">
        <v>19.552862455621021</v>
      </c>
      <c r="AU5">
        <v>19.563144408937724</v>
      </c>
      <c r="AV5">
        <v>19.573464043886261</v>
      </c>
      <c r="AW5">
        <v>19.583077948856598</v>
      </c>
      <c r="AX5">
        <v>19.59272736234681</v>
      </c>
      <c r="AY5">
        <v>19.602412600367408</v>
      </c>
      <c r="AZ5">
        <v>19.612133982830052</v>
      </c>
      <c r="BA5">
        <v>19.621891833603478</v>
      </c>
      <c r="BB5">
        <v>19.630687840637819</v>
      </c>
    </row>
    <row r="6" spans="1:54" x14ac:dyDescent="0.3">
      <c r="B6" s="38" t="s">
        <v>55</v>
      </c>
      <c r="C6">
        <v>19.202295364760733</v>
      </c>
      <c r="D6">
        <v>19.215098424265928</v>
      </c>
      <c r="E6">
        <v>19.22794694399261</v>
      </c>
      <c r="F6">
        <v>19.240841289500185</v>
      </c>
      <c r="G6">
        <v>19.253248200750672</v>
      </c>
      <c r="H6">
        <v>19.265698481983602</v>
      </c>
      <c r="I6">
        <v>19.278192479253459</v>
      </c>
      <c r="J6">
        <v>19.290730542353902</v>
      </c>
      <c r="K6">
        <v>19.303313024863755</v>
      </c>
      <c r="L6">
        <v>19.315162301887991</v>
      </c>
      <c r="M6">
        <v>19.327052459389595</v>
      </c>
      <c r="N6">
        <v>19.338983821771389</v>
      </c>
      <c r="O6">
        <v>19.350956716936317</v>
      </c>
      <c r="P6">
        <v>19.362971476330664</v>
      </c>
      <c r="Q6">
        <v>19.37437884871613</v>
      </c>
      <c r="R6">
        <v>19.385825490573232</v>
      </c>
      <c r="S6">
        <v>19.397311713597418</v>
      </c>
      <c r="T6">
        <v>19.408837832851816</v>
      </c>
      <c r="U6">
        <v>19.420404166808957</v>
      </c>
      <c r="V6">
        <v>19.431216741684874</v>
      </c>
      <c r="W6">
        <v>19.442067401708023</v>
      </c>
      <c r="X6">
        <v>19.452956460332111</v>
      </c>
      <c r="Y6">
        <v>19.463884234523018</v>
      </c>
      <c r="Z6">
        <v>19.474851044803962</v>
      </c>
      <c r="AA6">
        <v>19.484761537596853</v>
      </c>
      <c r="AC6" s="38" t="s">
        <v>455</v>
      </c>
      <c r="AD6">
        <v>19.095458701577215</v>
      </c>
      <c r="AE6">
        <v>19.10952847687674</v>
      </c>
      <c r="AF6">
        <v>19.123651885817548</v>
      </c>
      <c r="AG6">
        <v>19.137829397176628</v>
      </c>
      <c r="AH6">
        <v>19.151469811649761</v>
      </c>
      <c r="AI6">
        <v>19.165161396000769</v>
      </c>
      <c r="AJ6">
        <v>19.178904593507035</v>
      </c>
      <c r="AK6">
        <v>19.192699852727213</v>
      </c>
      <c r="AL6">
        <v>19.206547627573514</v>
      </c>
      <c r="AM6">
        <v>19.21958329614781</v>
      </c>
      <c r="AN6">
        <v>19.232667223794731</v>
      </c>
      <c r="AO6">
        <v>19.245799826086994</v>
      </c>
      <c r="AP6">
        <v>19.258981523538608</v>
      </c>
      <c r="AQ6">
        <v>19.272212741672693</v>
      </c>
      <c r="AR6">
        <v>19.284769853604057</v>
      </c>
      <c r="AS6">
        <v>19.297373367916883</v>
      </c>
      <c r="AT6">
        <v>19.310023684354661</v>
      </c>
      <c r="AU6">
        <v>19.322721207420305</v>
      </c>
      <c r="AV6">
        <v>19.335466346441777</v>
      </c>
      <c r="AW6">
        <v>19.347365921803153</v>
      </c>
      <c r="AX6">
        <v>19.359310430785584</v>
      </c>
      <c r="AY6">
        <v>19.371300274653816</v>
      </c>
      <c r="AZ6">
        <v>19.383335859627195</v>
      </c>
      <c r="BA6">
        <v>19.395417596950615</v>
      </c>
      <c r="BB6">
        <v>19.406325390484156</v>
      </c>
    </row>
    <row r="7" spans="1:54" x14ac:dyDescent="0.3">
      <c r="B7" s="38" t="s">
        <v>56</v>
      </c>
      <c r="C7">
        <v>18.899591790835569</v>
      </c>
      <c r="D7">
        <v>18.91467982969947</v>
      </c>
      <c r="E7">
        <v>18.929824099607576</v>
      </c>
      <c r="F7">
        <v>18.945025057636986</v>
      </c>
      <c r="G7">
        <v>18.959706680024464</v>
      </c>
      <c r="H7">
        <v>18.974442056998434</v>
      </c>
      <c r="I7">
        <v>18.989231621905624</v>
      </c>
      <c r="J7">
        <v>19.004075812775692</v>
      </c>
      <c r="K7">
        <v>19.018975072378797</v>
      </c>
      <c r="L7">
        <v>19.033060784916412</v>
      </c>
      <c r="M7">
        <v>19.047197299400214</v>
      </c>
      <c r="N7">
        <v>19.061385022813479</v>
      </c>
      <c r="O7">
        <v>19.075624366531564</v>
      </c>
      <c r="P7">
        <v>19.089915746375876</v>
      </c>
      <c r="Q7">
        <v>19.103536087574685</v>
      </c>
      <c r="R7">
        <v>19.117205351763026</v>
      </c>
      <c r="S7">
        <v>19.130923930632004</v>
      </c>
      <c r="T7">
        <v>19.144692220105618</v>
      </c>
      <c r="U7">
        <v>19.158510620393127</v>
      </c>
      <c r="V7">
        <v>19.171476069163663</v>
      </c>
      <c r="W7">
        <v>19.184489121039139</v>
      </c>
      <c r="X7">
        <v>19.197550170831949</v>
      </c>
      <c r="Y7">
        <v>19.21065961777915</v>
      </c>
      <c r="Z7">
        <v>19.223817865599273</v>
      </c>
      <c r="AA7">
        <v>19.23574519993484</v>
      </c>
      <c r="AC7" s="38" t="s">
        <v>456</v>
      </c>
      <c r="AD7">
        <v>18.77065047023633</v>
      </c>
      <c r="AE7">
        <v>18.787193752045273</v>
      </c>
      <c r="AF7">
        <v>18.803803260985479</v>
      </c>
      <c r="AG7">
        <v>18.82047958274838</v>
      </c>
      <c r="AH7">
        <v>18.836586480188423</v>
      </c>
      <c r="AI7">
        <v>18.852756696988937</v>
      </c>
      <c r="AJ7">
        <v>18.868990787840758</v>
      </c>
      <c r="AK7">
        <v>18.885289314046528</v>
      </c>
      <c r="AL7">
        <v>18.901652843610936</v>
      </c>
      <c r="AM7">
        <v>18.91711801184351</v>
      </c>
      <c r="AN7">
        <v>18.932643062421118</v>
      </c>
      <c r="AO7">
        <v>18.948228516355773</v>
      </c>
      <c r="AP7">
        <v>18.963874900857643</v>
      </c>
      <c r="AQ7">
        <v>18.979582749420015</v>
      </c>
      <c r="AR7">
        <v>18.994548007609605</v>
      </c>
      <c r="AS7">
        <v>19.009570997886232</v>
      </c>
      <c r="AT7">
        <v>19.024652222281084</v>
      </c>
      <c r="AU7">
        <v>19.039792188805571</v>
      </c>
      <c r="AV7">
        <v>19.05499141153361</v>
      </c>
      <c r="AW7">
        <v>19.069234795263515</v>
      </c>
      <c r="AX7">
        <v>19.083534275625645</v>
      </c>
      <c r="AY7">
        <v>19.097890357773981</v>
      </c>
      <c r="AZ7">
        <v>19.112303553102624</v>
      </c>
      <c r="BA7">
        <v>19.126774379334968</v>
      </c>
      <c r="BB7">
        <v>19.139879584989327</v>
      </c>
    </row>
    <row r="8" spans="1:54" x14ac:dyDescent="0.3">
      <c r="B8" s="38" t="s">
        <v>57</v>
      </c>
      <c r="C8">
        <v>18.5783767071011</v>
      </c>
      <c r="D8">
        <v>18.595071982973543</v>
      </c>
      <c r="E8">
        <v>18.611834933402896</v>
      </c>
      <c r="F8">
        <v>18.628666118501393</v>
      </c>
      <c r="G8">
        <v>18.644993527059576</v>
      </c>
      <c r="H8">
        <v>18.661385785923816</v>
      </c>
      <c r="I8">
        <v>18.677843427246348</v>
      </c>
      <c r="J8">
        <v>18.694366988927879</v>
      </c>
      <c r="K8">
        <v>18.710957014688034</v>
      </c>
      <c r="L8">
        <v>18.726715794423196</v>
      </c>
      <c r="M8">
        <v>18.74253608956483</v>
      </c>
      <c r="N8">
        <v>18.758418401320743</v>
      </c>
      <c r="O8">
        <v>18.774363236307025</v>
      </c>
      <c r="P8">
        <v>18.790371106614266</v>
      </c>
      <c r="Q8">
        <v>18.805710954915725</v>
      </c>
      <c r="R8">
        <v>18.821110278015006</v>
      </c>
      <c r="S8">
        <v>18.836569559636441</v>
      </c>
      <c r="T8">
        <v>18.852089288731868</v>
      </c>
      <c r="U8">
        <v>18.867669959544916</v>
      </c>
      <c r="V8">
        <v>18.882383322343838</v>
      </c>
      <c r="W8">
        <v>18.897154911272587</v>
      </c>
      <c r="X8">
        <v>18.911985216150637</v>
      </c>
      <c r="Y8">
        <v>18.926874732287175</v>
      </c>
      <c r="Z8">
        <v>18.941823960551361</v>
      </c>
      <c r="AA8">
        <v>18.955452707364508</v>
      </c>
      <c r="AC8" s="38" t="s">
        <v>457</v>
      </c>
      <c r="AD8">
        <v>18.429725784283733</v>
      </c>
      <c r="AE8">
        <v>18.447952760957257</v>
      </c>
      <c r="AF8">
        <v>18.466259195898676</v>
      </c>
      <c r="AG8">
        <v>18.48464580582819</v>
      </c>
      <c r="AH8">
        <v>18.502484866599268</v>
      </c>
      <c r="AI8">
        <v>18.520400086749287</v>
      </c>
      <c r="AJ8">
        <v>18.538392146499124</v>
      </c>
      <c r="AK8">
        <v>18.55646173417967</v>
      </c>
      <c r="AL8">
        <v>18.574609546342266</v>
      </c>
      <c r="AM8">
        <v>18.591844301874211</v>
      </c>
      <c r="AN8">
        <v>18.609151362286987</v>
      </c>
      <c r="AO8">
        <v>18.626531368366695</v>
      </c>
      <c r="AP8">
        <v>18.643984968526034</v>
      </c>
      <c r="AQ8">
        <v>18.661512818908449</v>
      </c>
      <c r="AR8">
        <v>18.678305570447272</v>
      </c>
      <c r="AS8">
        <v>18.695168321983569</v>
      </c>
      <c r="AT8">
        <v>18.712101692740596</v>
      </c>
      <c r="AU8">
        <v>18.729106309321736</v>
      </c>
      <c r="AV8">
        <v>18.746182805811618</v>
      </c>
      <c r="AW8">
        <v>18.762289315791538</v>
      </c>
      <c r="AX8">
        <v>18.778464280016522</v>
      </c>
      <c r="AY8">
        <v>18.794708324528596</v>
      </c>
      <c r="AZ8">
        <v>18.811022083107236</v>
      </c>
      <c r="BA8">
        <v>18.827406197379801</v>
      </c>
      <c r="BB8">
        <v>18.842330508094069</v>
      </c>
    </row>
    <row r="9" spans="1:54" x14ac:dyDescent="0.3">
      <c r="B9" s="38" t="s">
        <v>58</v>
      </c>
      <c r="C9">
        <v>18.198811408531373</v>
      </c>
      <c r="D9">
        <v>18.217211102925976</v>
      </c>
      <c r="E9">
        <v>18.235692073942818</v>
      </c>
      <c r="F9">
        <v>18.254255004842133</v>
      </c>
      <c r="G9">
        <v>18.272293447972547</v>
      </c>
      <c r="H9">
        <v>18.290409850782911</v>
      </c>
      <c r="I9">
        <v>18.308604863266737</v>
      </c>
      <c r="J9">
        <v>18.326879142429799</v>
      </c>
      <c r="K9">
        <v>18.345233352375384</v>
      </c>
      <c r="L9">
        <v>18.362716460664071</v>
      </c>
      <c r="M9">
        <v>18.380273717516314</v>
      </c>
      <c r="N9">
        <v>18.397905736594399</v>
      </c>
      <c r="O9">
        <v>18.41561313817612</v>
      </c>
      <c r="P9">
        <v>18.433396549235489</v>
      </c>
      <c r="Q9">
        <v>18.450500769879056</v>
      </c>
      <c r="R9">
        <v>18.467676896064877</v>
      </c>
      <c r="S9">
        <v>18.484925521455647</v>
      </c>
      <c r="T9">
        <v>18.502247246125126</v>
      </c>
      <c r="U9">
        <v>18.519642676636671</v>
      </c>
      <c r="V9">
        <v>18.536176383553709</v>
      </c>
      <c r="W9">
        <v>18.552780927456904</v>
      </c>
      <c r="X9">
        <v>18.56945691252934</v>
      </c>
      <c r="Y9">
        <v>18.586204949722287</v>
      </c>
      <c r="Z9">
        <v>18.603025656841542</v>
      </c>
      <c r="AA9">
        <v>18.618450516352187</v>
      </c>
      <c r="AC9" s="38" t="s">
        <v>458</v>
      </c>
      <c r="AD9">
        <v>18.028812101728679</v>
      </c>
      <c r="AE9">
        <v>18.048802970172723</v>
      </c>
      <c r="AF9">
        <v>18.068888981517624</v>
      </c>
      <c r="AG9">
        <v>18.089071008855726</v>
      </c>
      <c r="AH9">
        <v>18.108687166793505</v>
      </c>
      <c r="AI9">
        <v>18.128394603286349</v>
      </c>
      <c r="AJ9">
        <v>18.148194147995802</v>
      </c>
      <c r="AK9">
        <v>18.168086640468253</v>
      </c>
      <c r="AL9">
        <v>18.188072930268973</v>
      </c>
      <c r="AM9">
        <v>18.207107357733879</v>
      </c>
      <c r="AN9">
        <v>18.226228683987209</v>
      </c>
      <c r="AO9">
        <v>18.245437692472937</v>
      </c>
      <c r="AP9">
        <v>18.264735175956559</v>
      </c>
      <c r="AQ9">
        <v>18.284121936651715</v>
      </c>
      <c r="AR9">
        <v>18.302765729219086</v>
      </c>
      <c r="AS9">
        <v>18.321493917369047</v>
      </c>
      <c r="AT9">
        <v>18.34030726001647</v>
      </c>
      <c r="AU9">
        <v>18.359206525120069</v>
      </c>
      <c r="AV9">
        <v>18.378192489805858</v>
      </c>
      <c r="AW9">
        <v>18.396216967017299</v>
      </c>
      <c r="AX9">
        <v>18.414324515267463</v>
      </c>
      <c r="AY9">
        <v>18.432515905834165</v>
      </c>
      <c r="AZ9">
        <v>18.450791919528182</v>
      </c>
      <c r="BA9">
        <v>18.469153346828701</v>
      </c>
      <c r="BB9">
        <v>18.485978294770845</v>
      </c>
    </row>
    <row r="10" spans="1:54" x14ac:dyDescent="0.3">
      <c r="B10" s="38" t="s">
        <v>59</v>
      </c>
      <c r="C10">
        <v>17.716735741505286</v>
      </c>
      <c r="D10">
        <v>17.737565241904349</v>
      </c>
      <c r="E10">
        <v>17.758493154056548</v>
      </c>
      <c r="F10">
        <v>17.779520314291148</v>
      </c>
      <c r="G10">
        <v>17.799925282788639</v>
      </c>
      <c r="H10">
        <v>17.82042459990431</v>
      </c>
      <c r="I10">
        <v>17.841019061401717</v>
      </c>
      <c r="J10">
        <v>17.86170947161202</v>
      </c>
      <c r="K10">
        <v>17.882496643537479</v>
      </c>
      <c r="L10">
        <v>17.902315296550277</v>
      </c>
      <c r="M10">
        <v>17.922223826647521</v>
      </c>
      <c r="N10">
        <v>17.942222986383808</v>
      </c>
      <c r="O10">
        <v>17.962313536413614</v>
      </c>
      <c r="P10">
        <v>17.982496245589591</v>
      </c>
      <c r="Q10">
        <v>18.001943296676068</v>
      </c>
      <c r="R10">
        <v>18.021477673752543</v>
      </c>
      <c r="S10">
        <v>18.041100106094941</v>
      </c>
      <c r="T10">
        <v>18.060811330844324</v>
      </c>
      <c r="U10">
        <v>18.080612093102964</v>
      </c>
      <c r="V10">
        <v>18.099527148257014</v>
      </c>
      <c r="W10">
        <v>18.118528682345072</v>
      </c>
      <c r="X10">
        <v>18.13761744095498</v>
      </c>
      <c r="Y10">
        <v>18.156794178018714</v>
      </c>
      <c r="Z10">
        <v>18.176059655918252</v>
      </c>
      <c r="AA10">
        <v>18.193803361022777</v>
      </c>
      <c r="AC10" s="38" t="s">
        <v>459</v>
      </c>
      <c r="AD10">
        <v>17.519517027406369</v>
      </c>
      <c r="AE10">
        <v>17.542053674375961</v>
      </c>
      <c r="AF10">
        <v>17.564705248805371</v>
      </c>
      <c r="AG10">
        <v>17.587472818180512</v>
      </c>
      <c r="AH10">
        <v>17.60957037964306</v>
      </c>
      <c r="AI10">
        <v>17.631778133655391</v>
      </c>
      <c r="AJ10">
        <v>17.654097094701182</v>
      </c>
      <c r="AK10">
        <v>17.676528289333262</v>
      </c>
      <c r="AL10">
        <v>17.699072756336292</v>
      </c>
      <c r="AM10">
        <v>17.720562815873894</v>
      </c>
      <c r="AN10">
        <v>17.742157947235231</v>
      </c>
      <c r="AO10">
        <v>17.763859109987241</v>
      </c>
      <c r="AP10">
        <v>17.785667275101837</v>
      </c>
      <c r="AQ10">
        <v>17.807583425110106</v>
      </c>
      <c r="AR10">
        <v>17.828698482079496</v>
      </c>
      <c r="AS10">
        <v>17.849915788256247</v>
      </c>
      <c r="AT10">
        <v>17.871236274766229</v>
      </c>
      <c r="AU10">
        <v>17.892660883822607</v>
      </c>
      <c r="AV10">
        <v>17.914190568876432</v>
      </c>
      <c r="AW10">
        <v>17.934733941477155</v>
      </c>
      <c r="AX10">
        <v>17.955378506195625</v>
      </c>
      <c r="AY10">
        <v>17.976125213769834</v>
      </c>
      <c r="AZ10">
        <v>17.996975026683071</v>
      </c>
      <c r="BA10">
        <v>18.017928919330078</v>
      </c>
      <c r="BB10">
        <v>18.037214236119389</v>
      </c>
    </row>
    <row r="11" spans="1:54" x14ac:dyDescent="0.3">
      <c r="B11" s="38" t="s">
        <v>60</v>
      </c>
      <c r="C11">
        <v>17.127655486558407</v>
      </c>
      <c r="D11">
        <v>17.151361850266831</v>
      </c>
      <c r="E11">
        <v>17.175187060187429</v>
      </c>
      <c r="F11">
        <v>17.199132135182051</v>
      </c>
      <c r="G11">
        <v>17.222306324384771</v>
      </c>
      <c r="H11">
        <v>17.245594336590948</v>
      </c>
      <c r="I11">
        <v>17.26899714106893</v>
      </c>
      <c r="J11">
        <v>17.292515717491035</v>
      </c>
      <c r="K11">
        <v>17.316151056058509</v>
      </c>
      <c r="L11">
        <v>17.338681044783495</v>
      </c>
      <c r="M11">
        <v>17.361319580825118</v>
      </c>
      <c r="N11">
        <v>17.384067582171159</v>
      </c>
      <c r="O11">
        <v>17.406925976664976</v>
      </c>
      <c r="P11">
        <v>17.429895702124448</v>
      </c>
      <c r="Q11">
        <v>17.452056042641978</v>
      </c>
      <c r="R11">
        <v>17.474322023800202</v>
      </c>
      <c r="S11">
        <v>17.49669453667196</v>
      </c>
      <c r="T11">
        <v>17.519174481919638</v>
      </c>
      <c r="U11">
        <v>17.541762769911408</v>
      </c>
      <c r="V11">
        <v>17.563452204384173</v>
      </c>
      <c r="W11">
        <v>17.585246826106882</v>
      </c>
      <c r="X11">
        <v>17.607147550711844</v>
      </c>
      <c r="Y11">
        <v>17.629155304061548</v>
      </c>
      <c r="Z11">
        <v>17.651271022377969</v>
      </c>
      <c r="AA11">
        <v>17.671714629024031</v>
      </c>
      <c r="AC11" s="38" t="s">
        <v>460</v>
      </c>
      <c r="AD11">
        <v>16.898648007545813</v>
      </c>
      <c r="AE11">
        <v>16.924193241323387</v>
      </c>
      <c r="AF11">
        <v>16.949876950231396</v>
      </c>
      <c r="AG11">
        <v>16.975700433289202</v>
      </c>
      <c r="AH11">
        <v>17.00069344212319</v>
      </c>
      <c r="AI11">
        <v>17.025819064857981</v>
      </c>
      <c r="AJ11">
        <v>17.051078535637473</v>
      </c>
      <c r="AK11">
        <v>17.076473103251793</v>
      </c>
      <c r="AL11">
        <v>17.102004031333362</v>
      </c>
      <c r="AM11">
        <v>17.126334835674498</v>
      </c>
      <c r="AN11">
        <v>17.150792226426613</v>
      </c>
      <c r="AO11">
        <v>17.175377372582954</v>
      </c>
      <c r="AP11">
        <v>17.200091457003598</v>
      </c>
      <c r="AQ11">
        <v>17.224935676601923</v>
      </c>
      <c r="AR11">
        <v>17.248902157059042</v>
      </c>
      <c r="AS11">
        <v>17.272992032413228</v>
      </c>
      <c r="AT11">
        <v>17.297206438888356</v>
      </c>
      <c r="AU11">
        <v>17.321546526215876</v>
      </c>
      <c r="AV11">
        <v>17.346013457817495</v>
      </c>
      <c r="AW11">
        <v>17.369481332061277</v>
      </c>
      <c r="AX11">
        <v>17.393072016260369</v>
      </c>
      <c r="AY11">
        <v>17.416786676617654</v>
      </c>
      <c r="AZ11">
        <v>17.440626493726626</v>
      </c>
      <c r="BA11">
        <v>17.464592662774212</v>
      </c>
      <c r="BB11">
        <v>17.486732436943218</v>
      </c>
    </row>
    <row r="12" spans="1:54" x14ac:dyDescent="0.3">
      <c r="B12" s="38" t="s">
        <v>61</v>
      </c>
      <c r="C12">
        <v>16.417156640640009</v>
      </c>
      <c r="D12">
        <v>16.444076777476884</v>
      </c>
      <c r="E12">
        <v>16.471139332998082</v>
      </c>
      <c r="F12">
        <v>16.498345536684219</v>
      </c>
      <c r="G12">
        <v>16.524610288025933</v>
      </c>
      <c r="H12">
        <v>16.551011342593547</v>
      </c>
      <c r="I12">
        <v>16.577549870274325</v>
      </c>
      <c r="J12">
        <v>16.604227053456164</v>
      </c>
      <c r="K12">
        <v>16.631044087176324</v>
      </c>
      <c r="L12">
        <v>16.656591835554682</v>
      </c>
      <c r="M12">
        <v>16.682269710994781</v>
      </c>
      <c r="N12">
        <v>16.708078823339815</v>
      </c>
      <c r="O12">
        <v>16.734020294302255</v>
      </c>
      <c r="P12">
        <v>16.760095257605887</v>
      </c>
      <c r="Q12">
        <v>16.785264970858858</v>
      </c>
      <c r="R12">
        <v>16.810561498740963</v>
      </c>
      <c r="S12">
        <v>16.835985920287541</v>
      </c>
      <c r="T12">
        <v>16.861539326106879</v>
      </c>
      <c r="U12">
        <v>16.887222818519589</v>
      </c>
      <c r="V12">
        <v>16.91201961824888</v>
      </c>
      <c r="W12">
        <v>16.936943442123855</v>
      </c>
      <c r="X12">
        <v>16.961995405492594</v>
      </c>
      <c r="Y12">
        <v>16.987176636131657</v>
      </c>
      <c r="Z12">
        <v>17.012488274402198</v>
      </c>
      <c r="AA12">
        <v>17.035971718384058</v>
      </c>
      <c r="AC12" s="38" t="s">
        <v>461</v>
      </c>
      <c r="AD12">
        <v>16.152170685209743</v>
      </c>
      <c r="AE12">
        <v>16.181059237486885</v>
      </c>
      <c r="AF12">
        <v>16.210113340407329</v>
      </c>
      <c r="AG12">
        <v>16.239334559645048</v>
      </c>
      <c r="AH12">
        <v>16.267541289099036</v>
      </c>
      <c r="AI12">
        <v>16.295906424935083</v>
      </c>
      <c r="AJ12">
        <v>16.3244314547572</v>
      </c>
      <c r="AK12">
        <v>16.353117883754361</v>
      </c>
      <c r="AL12">
        <v>16.381967234934017</v>
      </c>
      <c r="AM12">
        <v>16.409441405254626</v>
      </c>
      <c r="AN12">
        <v>16.437066938455363</v>
      </c>
      <c r="AO12">
        <v>16.464845245858221</v>
      </c>
      <c r="AP12">
        <v>16.49277775547198</v>
      </c>
      <c r="AQ12">
        <v>16.520865912214912</v>
      </c>
      <c r="AR12">
        <v>16.547975647245075</v>
      </c>
      <c r="AS12">
        <v>16.575233130251064</v>
      </c>
      <c r="AT12">
        <v>16.602639735149566</v>
      </c>
      <c r="AU12">
        <v>16.630196852145048</v>
      </c>
      <c r="AV12">
        <v>16.657905887948534</v>
      </c>
      <c r="AW12">
        <v>16.684631110298984</v>
      </c>
      <c r="AX12">
        <v>16.711504286233453</v>
      </c>
      <c r="AY12">
        <v>16.738526834470647</v>
      </c>
      <c r="AZ12">
        <v>16.76570019119951</v>
      </c>
      <c r="BA12">
        <v>16.793025810323858</v>
      </c>
      <c r="BB12">
        <v>16.818362585405346</v>
      </c>
    </row>
    <row r="13" spans="1:54" x14ac:dyDescent="0.3">
      <c r="B13" s="38" t="s">
        <v>62</v>
      </c>
      <c r="C13">
        <v>15.574999848184765</v>
      </c>
      <c r="D13">
        <v>15.605262976119633</v>
      </c>
      <c r="E13">
        <v>15.635694264855239</v>
      </c>
      <c r="F13">
        <v>15.666295173120151</v>
      </c>
      <c r="G13">
        <v>15.695789863148422</v>
      </c>
      <c r="H13">
        <v>15.725445522823636</v>
      </c>
      <c r="I13">
        <v>15.755263541962792</v>
      </c>
      <c r="J13">
        <v>15.785245325129265</v>
      </c>
      <c r="K13">
        <v>15.815392291806354</v>
      </c>
      <c r="L13">
        <v>15.844113513363986</v>
      </c>
      <c r="M13">
        <v>15.872988700056933</v>
      </c>
      <c r="N13">
        <v>15.902019173944236</v>
      </c>
      <c r="O13">
        <v>15.93120627113796</v>
      </c>
      <c r="P13">
        <v>15.960551341969607</v>
      </c>
      <c r="Q13">
        <v>15.988878579156278</v>
      </c>
      <c r="R13">
        <v>16.017356058316675</v>
      </c>
      <c r="S13">
        <v>16.045985067139398</v>
      </c>
      <c r="T13">
        <v>16.074766907049256</v>
      </c>
      <c r="U13">
        <v>16.103702893370947</v>
      </c>
      <c r="V13">
        <v>16.131788282117785</v>
      </c>
      <c r="W13">
        <v>16.160025133612891</v>
      </c>
      <c r="X13">
        <v>16.188414788075544</v>
      </c>
      <c r="Y13">
        <v>16.216958600594612</v>
      </c>
      <c r="Z13">
        <v>16.24565794131351</v>
      </c>
      <c r="AA13">
        <v>16.272384436367762</v>
      </c>
      <c r="AC13" s="38" t="s">
        <v>462</v>
      </c>
      <c r="AD13">
        <v>15.271065096654807</v>
      </c>
      <c r="AE13">
        <v>15.303399663188932</v>
      </c>
      <c r="AF13">
        <v>15.335929194278505</v>
      </c>
      <c r="AG13">
        <v>15.368655544958409</v>
      </c>
      <c r="AH13">
        <v>15.400190440540706</v>
      </c>
      <c r="AI13">
        <v>15.431911892412698</v>
      </c>
      <c r="AJ13">
        <v>15.463821665155891</v>
      </c>
      <c r="AK13">
        <v>15.495921544079222</v>
      </c>
      <c r="AL13">
        <v>15.528213335491175</v>
      </c>
      <c r="AM13">
        <v>15.55896389144667</v>
      </c>
      <c r="AN13">
        <v>15.589893033987336</v>
      </c>
      <c r="AO13">
        <v>15.621002441613955</v>
      </c>
      <c r="AP13">
        <v>15.65229381256666</v>
      </c>
      <c r="AQ13">
        <v>15.683768865085735</v>
      </c>
      <c r="AR13">
        <v>15.714146579210258</v>
      </c>
      <c r="AS13">
        <v>15.744698837217749</v>
      </c>
      <c r="AT13">
        <v>15.775427275977092</v>
      </c>
      <c r="AU13">
        <v>15.806333551671063</v>
      </c>
      <c r="AV13">
        <v>15.837419340053209</v>
      </c>
      <c r="AW13">
        <v>15.867562257684062</v>
      </c>
      <c r="AX13">
        <v>15.89788112118749</v>
      </c>
      <c r="AY13">
        <v>15.928377632703956</v>
      </c>
      <c r="AZ13">
        <v>15.959053515257708</v>
      </c>
      <c r="BA13">
        <v>15.989910513046937</v>
      </c>
      <c r="BB13">
        <v>16.01863054909597</v>
      </c>
    </row>
    <row r="14" spans="1:54" x14ac:dyDescent="0.3">
      <c r="B14" s="38" t="s">
        <v>63</v>
      </c>
      <c r="C14">
        <v>14.601757501547462</v>
      </c>
      <c r="D14">
        <v>14.635049842615743</v>
      </c>
      <c r="E14">
        <v>14.668535739124101</v>
      </c>
      <c r="F14">
        <v>14.702216872036352</v>
      </c>
      <c r="G14">
        <v>14.734654514455304</v>
      </c>
      <c r="H14">
        <v>14.767277695776821</v>
      </c>
      <c r="I14">
        <v>14.800088022318006</v>
      </c>
      <c r="J14">
        <v>14.833087117243819</v>
      </c>
      <c r="K14">
        <v>14.866276620761941</v>
      </c>
      <c r="L14">
        <v>14.897934643523397</v>
      </c>
      <c r="M14">
        <v>14.929770721031234</v>
      </c>
      <c r="N14">
        <v>14.961786388388051</v>
      </c>
      <c r="O14">
        <v>14.993983196851126</v>
      </c>
      <c r="P14">
        <v>15.026362714020712</v>
      </c>
      <c r="Q14">
        <v>15.05763444202217</v>
      </c>
      <c r="R14">
        <v>15.089080277976093</v>
      </c>
      <c r="S14">
        <v>15.120701721447549</v>
      </c>
      <c r="T14">
        <v>15.152500287854661</v>
      </c>
      <c r="U14">
        <v>15.184477508654885</v>
      </c>
      <c r="V14">
        <v>15.215679765113457</v>
      </c>
      <c r="W14">
        <v>15.247058837896571</v>
      </c>
      <c r="X14">
        <v>15.278616301024254</v>
      </c>
      <c r="Y14">
        <v>15.310353745851687</v>
      </c>
      <c r="Z14">
        <v>15.342272781282253</v>
      </c>
      <c r="AA14">
        <v>15.372107454950751</v>
      </c>
      <c r="AC14" s="38" t="s">
        <v>463</v>
      </c>
      <c r="AD14">
        <v>14.258703936205277</v>
      </c>
      <c r="AE14">
        <v>14.294101121248632</v>
      </c>
      <c r="AF14">
        <v>14.329722023090509</v>
      </c>
      <c r="AG14">
        <v>14.365568775706675</v>
      </c>
      <c r="AH14">
        <v>14.400077186474732</v>
      </c>
      <c r="AI14">
        <v>14.434799931265065</v>
      </c>
      <c r="AJ14">
        <v>14.469739045753442</v>
      </c>
      <c r="AK14">
        <v>14.504896589273589</v>
      </c>
      <c r="AL14">
        <v>14.540274645122647</v>
      </c>
      <c r="AM14">
        <v>14.574001605287457</v>
      </c>
      <c r="AN14">
        <v>14.607934412405148</v>
      </c>
      <c r="AO14">
        <v>14.642075011674658</v>
      </c>
      <c r="AP14">
        <v>14.676425370962093</v>
      </c>
      <c r="AQ14">
        <v>14.71098748109573</v>
      </c>
      <c r="AR14">
        <v>14.744358404356182</v>
      </c>
      <c r="AS14">
        <v>14.777930920752622</v>
      </c>
      <c r="AT14">
        <v>14.811706932628656</v>
      </c>
      <c r="AU14">
        <v>14.845688364592682</v>
      </c>
      <c r="AV14">
        <v>14.879877163810027</v>
      </c>
      <c r="AW14">
        <v>14.913206110369314</v>
      </c>
      <c r="AX14">
        <v>14.946739795282298</v>
      </c>
      <c r="AY14">
        <v>14.980480213811482</v>
      </c>
      <c r="AZ14">
        <v>15.014429385540877</v>
      </c>
      <c r="BA14">
        <v>15.048589354709943</v>
      </c>
      <c r="BB14">
        <v>15.080501992628044</v>
      </c>
    </row>
    <row r="15" spans="1:54" x14ac:dyDescent="0.3">
      <c r="B15" s="38" t="s">
        <v>64</v>
      </c>
      <c r="C15">
        <v>13.485549091968897</v>
      </c>
      <c r="D15">
        <v>13.52125975640465</v>
      </c>
      <c r="E15">
        <v>13.557185835549463</v>
      </c>
      <c r="F15">
        <v>13.59332918955892</v>
      </c>
      <c r="G15">
        <v>13.628163618003224</v>
      </c>
      <c r="H15">
        <v>13.663205297708263</v>
      </c>
      <c r="I15">
        <v>13.698456016924945</v>
      </c>
      <c r="J15">
        <v>13.733917582314637</v>
      </c>
      <c r="K15">
        <v>13.769591819156656</v>
      </c>
      <c r="L15">
        <v>13.803683813112231</v>
      </c>
      <c r="M15">
        <v>13.837975637566471</v>
      </c>
      <c r="N15">
        <v>13.872469013250791</v>
      </c>
      <c r="O15">
        <v>13.907165678712131</v>
      </c>
      <c r="P15">
        <v>13.942067390515948</v>
      </c>
      <c r="Q15">
        <v>13.975816062916932</v>
      </c>
      <c r="R15">
        <v>14.009760756177265</v>
      </c>
      <c r="S15">
        <v>14.043903158964087</v>
      </c>
      <c r="T15">
        <v>14.078244977536826</v>
      </c>
      <c r="U15">
        <v>14.11278793594955</v>
      </c>
      <c r="V15">
        <v>14.146683762333492</v>
      </c>
      <c r="W15">
        <v>14.180780382751523</v>
      </c>
      <c r="X15">
        <v>14.215079588778888</v>
      </c>
      <c r="Y15">
        <v>14.249583191481671</v>
      </c>
      <c r="Z15">
        <v>14.284293021652015</v>
      </c>
      <c r="AA15">
        <v>14.316853885363123</v>
      </c>
      <c r="AC15" s="38" t="s">
        <v>464</v>
      </c>
      <c r="AD15">
        <v>13.104664902746183</v>
      </c>
      <c r="AE15">
        <v>13.142428765367399</v>
      </c>
      <c r="AF15">
        <v>13.180440723346045</v>
      </c>
      <c r="AG15">
        <v>13.218703133207564</v>
      </c>
      <c r="AH15">
        <v>13.255557819109953</v>
      </c>
      <c r="AI15">
        <v>13.292651030735374</v>
      </c>
      <c r="AJ15">
        <v>13.329985029306053</v>
      </c>
      <c r="AK15">
        <v>13.367562101866518</v>
      </c>
      <c r="AL15">
        <v>13.405384561608956</v>
      </c>
      <c r="AM15">
        <v>13.441505060596167</v>
      </c>
      <c r="AN15">
        <v>13.47785569910581</v>
      </c>
      <c r="AO15">
        <v>13.514438652473364</v>
      </c>
      <c r="AP15">
        <v>13.551256121000453</v>
      </c>
      <c r="AQ15">
        <v>13.588310330272714</v>
      </c>
      <c r="AR15">
        <v>13.62412793733437</v>
      </c>
      <c r="AS15">
        <v>13.660171626137613</v>
      </c>
      <c r="AT15">
        <v>13.696443533707429</v>
      </c>
      <c r="AU15">
        <v>13.732945821742872</v>
      </c>
      <c r="AV15">
        <v>13.769680676934236</v>
      </c>
      <c r="AW15">
        <v>13.805693510451595</v>
      </c>
      <c r="AX15">
        <v>13.841937964077619</v>
      </c>
      <c r="AY15">
        <v>13.878416303543959</v>
      </c>
      <c r="AZ15">
        <v>13.915130821894522</v>
      </c>
      <c r="BA15">
        <v>13.952083839853882</v>
      </c>
      <c r="BB15">
        <v>13.986730829584708</v>
      </c>
    </row>
    <row r="16" spans="1:54" x14ac:dyDescent="0.3">
      <c r="B16" s="38" t="s">
        <v>65</v>
      </c>
      <c r="C16">
        <v>12.231404728328537</v>
      </c>
      <c r="D16">
        <v>12.268290531274038</v>
      </c>
      <c r="E16">
        <v>12.305403750521464</v>
      </c>
      <c r="F16">
        <v>12.342746315137168</v>
      </c>
      <c r="G16">
        <v>12.378860814885945</v>
      </c>
      <c r="H16">
        <v>12.415195794072684</v>
      </c>
      <c r="I16">
        <v>12.451753128501357</v>
      </c>
      <c r="J16">
        <v>12.488534712703052</v>
      </c>
      <c r="K16">
        <v>12.525542460138915</v>
      </c>
      <c r="L16">
        <v>12.561028364350106</v>
      </c>
      <c r="M16">
        <v>12.596728465399018</v>
      </c>
      <c r="N16">
        <v>12.632644588379423</v>
      </c>
      <c r="O16">
        <v>12.668778576777315</v>
      </c>
      <c r="P16">
        <v>12.705132292673284</v>
      </c>
      <c r="Q16">
        <v>12.740347177700107</v>
      </c>
      <c r="R16">
        <v>12.775773156305846</v>
      </c>
      <c r="S16">
        <v>12.811412032325133</v>
      </c>
      <c r="T16">
        <v>12.847265627930692</v>
      </c>
      <c r="U16">
        <v>12.883335783837536</v>
      </c>
      <c r="V16">
        <v>12.918957192192146</v>
      </c>
      <c r="W16">
        <v>12.954797176254765</v>
      </c>
      <c r="X16">
        <v>12.990857677292984</v>
      </c>
      <c r="Y16">
        <v>13.027140657259849</v>
      </c>
      <c r="Z16">
        <v>13.063648099036346</v>
      </c>
      <c r="AA16">
        <v>13.098042898440546</v>
      </c>
      <c r="AC16" s="38" t="s">
        <v>465</v>
      </c>
      <c r="AD16">
        <v>11.817184944581275</v>
      </c>
      <c r="AE16">
        <v>11.855957407282</v>
      </c>
      <c r="AF16">
        <v>11.89499066121661</v>
      </c>
      <c r="AG16">
        <v>11.934287143775862</v>
      </c>
      <c r="AH16">
        <v>11.972263251476624</v>
      </c>
      <c r="AI16">
        <v>12.010491985600618</v>
      </c>
      <c r="AJ16">
        <v>12.04897571163135</v>
      </c>
      <c r="AK16">
        <v>12.087716821282637</v>
      </c>
      <c r="AL16">
        <v>12.12671773281666</v>
      </c>
      <c r="AM16">
        <v>12.164083761811753</v>
      </c>
      <c r="AN16">
        <v>12.2016953505593</v>
      </c>
      <c r="AO16">
        <v>12.239554799728207</v>
      </c>
      <c r="AP16">
        <v>12.27766443572318</v>
      </c>
      <c r="AQ16">
        <v>12.316026611001298</v>
      </c>
      <c r="AR16">
        <v>12.353169113529002</v>
      </c>
      <c r="AS16">
        <v>12.390553939500622</v>
      </c>
      <c r="AT16">
        <v>12.42818336482557</v>
      </c>
      <c r="AU16">
        <v>12.466059691091774</v>
      </c>
      <c r="AV16">
        <v>12.504185245885612</v>
      </c>
      <c r="AW16">
        <v>12.541799728537402</v>
      </c>
      <c r="AX16">
        <v>12.579665171192005</v>
      </c>
      <c r="AY16">
        <v>12.617784021690078</v>
      </c>
      <c r="AZ16">
        <v>12.656158756815236</v>
      </c>
      <c r="BA16">
        <v>12.694791882673869</v>
      </c>
      <c r="BB16">
        <v>12.731169341357491</v>
      </c>
    </row>
    <row r="17" spans="2:54" x14ac:dyDescent="0.3">
      <c r="B17" s="38" t="s">
        <v>66</v>
      </c>
      <c r="C17">
        <v>10.870806991407017</v>
      </c>
      <c r="D17">
        <v>10.906666909752172</v>
      </c>
      <c r="E17">
        <v>10.94274777020736</v>
      </c>
      <c r="F17">
        <v>10.979051374052894</v>
      </c>
      <c r="G17">
        <v>11.01440318695335</v>
      </c>
      <c r="H17">
        <v>11.049972092683026</v>
      </c>
      <c r="I17">
        <v>11.085759877554656</v>
      </c>
      <c r="J17">
        <v>11.121768344804225</v>
      </c>
      <c r="K17">
        <v>11.157999314763286</v>
      </c>
      <c r="L17">
        <v>11.192986895211202</v>
      </c>
      <c r="M17">
        <v>11.228188192746906</v>
      </c>
      <c r="N17">
        <v>11.263604979117686</v>
      </c>
      <c r="O17">
        <v>11.299239043122006</v>
      </c>
      <c r="P17">
        <v>11.335092190786888</v>
      </c>
      <c r="Q17">
        <v>11.369964104482635</v>
      </c>
      <c r="R17">
        <v>11.405048439918362</v>
      </c>
      <c r="S17">
        <v>11.440346970571149</v>
      </c>
      <c r="T17">
        <v>11.475861487211791</v>
      </c>
      <c r="U17">
        <v>11.511593798087709</v>
      </c>
      <c r="V17">
        <v>11.547165932933419</v>
      </c>
      <c r="W17">
        <v>11.58296120740385</v>
      </c>
      <c r="X17">
        <v>11.61898156889451</v>
      </c>
      <c r="Y17">
        <v>11.655228984820329</v>
      </c>
      <c r="Z17">
        <v>11.691705442839849</v>
      </c>
      <c r="AA17">
        <v>11.726280381543909</v>
      </c>
      <c r="AC17" s="38" t="s">
        <v>466</v>
      </c>
      <c r="AD17">
        <v>10.433220226802398</v>
      </c>
      <c r="AE17">
        <v>10.470646956799676</v>
      </c>
      <c r="AF17">
        <v>10.50832570637642</v>
      </c>
      <c r="AG17">
        <v>10.546258743985895</v>
      </c>
      <c r="AH17">
        <v>10.583165278214226</v>
      </c>
      <c r="AI17">
        <v>10.620319208000467</v>
      </c>
      <c r="AJ17">
        <v>10.657722778463476</v>
      </c>
      <c r="AK17">
        <v>10.695378258388352</v>
      </c>
      <c r="AL17">
        <v>10.733287940496409</v>
      </c>
      <c r="AM17">
        <v>10.769861426570028</v>
      </c>
      <c r="AN17">
        <v>10.806678559050283</v>
      </c>
      <c r="AO17">
        <v>10.843741563585755</v>
      </c>
      <c r="AP17">
        <v>10.881052689644235</v>
      </c>
      <c r="AQ17">
        <v>10.918614210790109</v>
      </c>
      <c r="AR17">
        <v>10.955124619037013</v>
      </c>
      <c r="AS17">
        <v>10.991877481416315</v>
      </c>
      <c r="AT17">
        <v>11.028875027399152</v>
      </c>
      <c r="AU17">
        <v>11.066119510629415</v>
      </c>
      <c r="AV17">
        <v>11.10361320921025</v>
      </c>
      <c r="AW17">
        <v>11.14089922573601</v>
      </c>
      <c r="AX17">
        <v>11.178439972875591</v>
      </c>
      <c r="AY17">
        <v>11.216237897387531</v>
      </c>
      <c r="AZ17">
        <v>11.254295473995578</v>
      </c>
      <c r="BA17">
        <v>11.29261520573993</v>
      </c>
      <c r="BB17">
        <v>11.328916533582314</v>
      </c>
    </row>
    <row r="18" spans="2:54" x14ac:dyDescent="0.3">
      <c r="B18" s="38" t="s">
        <v>67</v>
      </c>
      <c r="C18">
        <v>9.4172842834657295</v>
      </c>
      <c r="D18">
        <v>9.4498823909082112</v>
      </c>
      <c r="E18">
        <v>9.4826746005640459</v>
      </c>
      <c r="F18">
        <v>9.5156623807822314</v>
      </c>
      <c r="G18">
        <v>9.5481423079249907</v>
      </c>
      <c r="H18">
        <v>9.5808169166752943</v>
      </c>
      <c r="I18">
        <v>9.6136877081394303</v>
      </c>
      <c r="J18">
        <v>9.6467561964843469</v>
      </c>
      <c r="K18">
        <v>9.680023909058324</v>
      </c>
      <c r="L18">
        <v>9.7125056417058833</v>
      </c>
      <c r="M18">
        <v>9.7451828299273036</v>
      </c>
      <c r="N18">
        <v>9.7780570068096573</v>
      </c>
      <c r="O18">
        <v>9.8111297191279832</v>
      </c>
      <c r="P18">
        <v>9.8444025274757667</v>
      </c>
      <c r="Q18">
        <v>9.8770226064994286</v>
      </c>
      <c r="R18">
        <v>9.9098397304066079</v>
      </c>
      <c r="S18">
        <v>9.9428554664963684</v>
      </c>
      <c r="T18">
        <v>9.97607139634842</v>
      </c>
      <c r="U18">
        <v>10.009489115962616</v>
      </c>
      <c r="V18">
        <v>10.043115790091946</v>
      </c>
      <c r="W18">
        <v>10.07695356636297</v>
      </c>
      <c r="X18">
        <v>10.111004215697449</v>
      </c>
      <c r="Y18">
        <v>10.145269526177557</v>
      </c>
      <c r="Z18">
        <v>10.179751303224908</v>
      </c>
      <c r="AA18">
        <v>10.212686362236521</v>
      </c>
      <c r="AC18" s="38" t="s">
        <v>467</v>
      </c>
      <c r="AD18">
        <v>8.9689617461653057</v>
      </c>
      <c r="AE18">
        <v>9.0027150953771198</v>
      </c>
      <c r="AF18">
        <v>9.0366886118269409</v>
      </c>
      <c r="AG18">
        <v>9.0708841387068126</v>
      </c>
      <c r="AH18">
        <v>9.1045206306807422</v>
      </c>
      <c r="AI18">
        <v>9.1383777152947179</v>
      </c>
      <c r="AJ18">
        <v>9.1724572731132827</v>
      </c>
      <c r="AK18">
        <v>9.2067612029471633</v>
      </c>
      <c r="AL18">
        <v>9.2412914220426003</v>
      </c>
      <c r="AM18">
        <v>9.2749695155564638</v>
      </c>
      <c r="AN18">
        <v>9.308869122163113</v>
      </c>
      <c r="AO18">
        <v>9.3429921611290059</v>
      </c>
      <c r="AP18">
        <v>9.3773405708207651</v>
      </c>
      <c r="AQ18">
        <v>9.4119163089097135</v>
      </c>
      <c r="AR18">
        <v>9.4457886548284709</v>
      </c>
      <c r="AS18">
        <v>9.4798845402183822</v>
      </c>
      <c r="AT18">
        <v>9.514205928346577</v>
      </c>
      <c r="AU18">
        <v>9.5487548024187934</v>
      </c>
      <c r="AV18">
        <v>9.5835331657981033</v>
      </c>
      <c r="AW18">
        <v>9.6184875806269154</v>
      </c>
      <c r="AX18">
        <v>9.6536815045413213</v>
      </c>
      <c r="AY18">
        <v>9.6891171547848547</v>
      </c>
      <c r="AZ18">
        <v>9.7247967725512119</v>
      </c>
      <c r="BA18">
        <v>9.7607226232651332</v>
      </c>
      <c r="BB18">
        <v>9.7950158718967373</v>
      </c>
    </row>
    <row r="19" spans="2:54" x14ac:dyDescent="0.3">
      <c r="B19" s="38" t="s">
        <v>68</v>
      </c>
      <c r="C19">
        <v>7.2838501425546536</v>
      </c>
      <c r="D19">
        <v>7.3083636031240466</v>
      </c>
      <c r="E19">
        <v>7.3330021005061807</v>
      </c>
      <c r="F19">
        <v>7.3577664036585277</v>
      </c>
      <c r="G19">
        <v>7.3827570647422931</v>
      </c>
      <c r="H19">
        <v>7.4078791118349061</v>
      </c>
      <c r="I19">
        <v>7.4331333880740393</v>
      </c>
      <c r="J19">
        <v>7.4585207425269084</v>
      </c>
      <c r="K19">
        <v>7.4840420302335877</v>
      </c>
      <c r="L19">
        <v>7.5095962531229343</v>
      </c>
      <c r="M19">
        <v>7.5352885114946275</v>
      </c>
      <c r="N19">
        <v>7.5611197282614677</v>
      </c>
      <c r="O19">
        <v>7.5870908331607501</v>
      </c>
      <c r="P19">
        <v>7.6132027628069983</v>
      </c>
      <c r="Q19">
        <v>7.6392851105643604</v>
      </c>
      <c r="R19">
        <v>7.6655113044523162</v>
      </c>
      <c r="S19">
        <v>7.6918823367722187</v>
      </c>
      <c r="T19">
        <v>7.7183992074429915</v>
      </c>
      <c r="U19">
        <v>7.7450629240624016</v>
      </c>
      <c r="V19">
        <v>7.7725898790696704</v>
      </c>
      <c r="W19">
        <v>7.8002781507483938</v>
      </c>
      <c r="X19">
        <v>7.828128937959951</v>
      </c>
      <c r="Y19">
        <v>7.8561434495534623</v>
      </c>
      <c r="Z19">
        <v>7.8843229044533025</v>
      </c>
      <c r="AA19">
        <v>7.9116870856926234</v>
      </c>
      <c r="AC19" s="38" t="s">
        <v>468</v>
      </c>
      <c r="AD19">
        <v>6.8460195269778517</v>
      </c>
      <c r="AE19">
        <v>6.871126708670114</v>
      </c>
      <c r="AF19">
        <v>6.89637473574538</v>
      </c>
      <c r="AG19">
        <v>6.921764570644692</v>
      </c>
      <c r="AH19">
        <v>6.9473582270445879</v>
      </c>
      <c r="AI19">
        <v>6.9730997075945238</v>
      </c>
      <c r="AJ19">
        <v>6.9989900658303856</v>
      </c>
      <c r="AK19">
        <v>7.0250303635898348</v>
      </c>
      <c r="AL19">
        <v>7.0512216710807962</v>
      </c>
      <c r="AM19">
        <v>7.0774144378580237</v>
      </c>
      <c r="AN19">
        <v>7.1037624776002319</v>
      </c>
      <c r="AO19">
        <v>7.1302669424761183</v>
      </c>
      <c r="AP19">
        <v>7.1569289941998075</v>
      </c>
      <c r="AQ19">
        <v>7.183749804114111</v>
      </c>
      <c r="AR19">
        <v>7.2105165896766454</v>
      </c>
      <c r="AS19">
        <v>7.2374452960135098</v>
      </c>
      <c r="AT19">
        <v>7.2645371625087893</v>
      </c>
      <c r="AU19">
        <v>7.2917934392090853</v>
      </c>
      <c r="AV19">
        <v>7.3192153869204377</v>
      </c>
      <c r="AW19">
        <v>7.3474897800357954</v>
      </c>
      <c r="AX19">
        <v>7.3759457761541416</v>
      </c>
      <c r="AY19">
        <v>7.4045848724851266</v>
      </c>
      <c r="AZ19">
        <v>7.4334085802240963</v>
      </c>
      <c r="BA19">
        <v>7.4624184246906351</v>
      </c>
      <c r="BB19">
        <v>7.4905703944359576</v>
      </c>
    </row>
    <row r="20" spans="2:54" x14ac:dyDescent="0.3">
      <c r="B20" s="38" t="s">
        <v>69</v>
      </c>
      <c r="C20">
        <f>D4*(1+disc)^-1</f>
        <v>18.72977226745251</v>
      </c>
      <c r="AC20" s="38" t="s">
        <v>469</v>
      </c>
      <c r="AD20">
        <f t="shared" ref="AD20:AD35" si="0">AE4*(1+disc)^-1</f>
        <v>18.6622623804538</v>
      </c>
    </row>
    <row r="21" spans="2:54" x14ac:dyDescent="0.3">
      <c r="B21" s="38" t="s">
        <v>70</v>
      </c>
      <c r="C21">
        <f t="shared" ref="C20:C35" si="1">D5*(1+disc)^-1</f>
        <v>18.547578205258418</v>
      </c>
      <c r="AC21" s="38" t="s">
        <v>470</v>
      </c>
      <c r="AD21">
        <f t="shared" si="0"/>
        <v>18.466459534115348</v>
      </c>
    </row>
    <row r="22" spans="2:54" x14ac:dyDescent="0.3">
      <c r="B22" s="38" t="s">
        <v>71</v>
      </c>
      <c r="C22">
        <f t="shared" si="1"/>
        <v>18.300093737396121</v>
      </c>
      <c r="AC22" s="38" t="s">
        <v>471</v>
      </c>
      <c r="AD22">
        <f t="shared" si="0"/>
        <v>18.1995509303588</v>
      </c>
    </row>
    <row r="23" spans="2:54" x14ac:dyDescent="0.3">
      <c r="B23" s="38" t="s">
        <v>72</v>
      </c>
      <c r="C23">
        <f t="shared" si="1"/>
        <v>18.013980790189969</v>
      </c>
      <c r="AC23" s="38" t="s">
        <v>472</v>
      </c>
      <c r="AD23">
        <f t="shared" si="0"/>
        <v>17.892565478138355</v>
      </c>
    </row>
    <row r="24" spans="2:54" x14ac:dyDescent="0.3">
      <c r="B24" s="38" t="s">
        <v>73</v>
      </c>
      <c r="C24">
        <f t="shared" si="1"/>
        <v>17.709592364736707</v>
      </c>
      <c r="AC24" s="38" t="s">
        <v>473</v>
      </c>
      <c r="AD24">
        <f t="shared" si="0"/>
        <v>17.56947881995929</v>
      </c>
    </row>
    <row r="25" spans="2:54" x14ac:dyDescent="0.3">
      <c r="B25" s="38" t="s">
        <v>74</v>
      </c>
      <c r="C25">
        <f t="shared" si="1"/>
        <v>17.349724859929498</v>
      </c>
      <c r="AC25" s="38" t="s">
        <v>474</v>
      </c>
      <c r="AD25">
        <f t="shared" si="0"/>
        <v>17.18933616206926</v>
      </c>
    </row>
    <row r="26" spans="2:54" x14ac:dyDescent="0.3">
      <c r="B26" s="38" t="s">
        <v>75</v>
      </c>
      <c r="C26">
        <f t="shared" si="1"/>
        <v>16.89291927800414</v>
      </c>
      <c r="AC26" s="38" t="s">
        <v>475</v>
      </c>
      <c r="AD26">
        <f t="shared" si="0"/>
        <v>16.706717785119963</v>
      </c>
    </row>
    <row r="27" spans="2:54" x14ac:dyDescent="0.3">
      <c r="B27" s="38" t="s">
        <v>76</v>
      </c>
      <c r="C27">
        <f t="shared" si="1"/>
        <v>16.334630333587459</v>
      </c>
      <c r="AC27" s="38" t="s">
        <v>476</v>
      </c>
      <c r="AD27">
        <f t="shared" si="0"/>
        <v>16.118279277450842</v>
      </c>
    </row>
    <row r="28" spans="2:54" x14ac:dyDescent="0.3">
      <c r="B28" s="38" t="s">
        <v>77</v>
      </c>
      <c r="C28">
        <f t="shared" si="1"/>
        <v>15.661025502358935</v>
      </c>
      <c r="AC28" s="38" t="s">
        <v>477</v>
      </c>
      <c r="AD28">
        <f t="shared" si="0"/>
        <v>15.410532607130365</v>
      </c>
    </row>
    <row r="29" spans="2:54" x14ac:dyDescent="0.3">
      <c r="B29" s="38" t="s">
        <v>78</v>
      </c>
      <c r="C29">
        <f t="shared" si="1"/>
        <v>14.862155215352031</v>
      </c>
      <c r="AC29" s="38" t="s">
        <v>478</v>
      </c>
      <c r="AD29">
        <f t="shared" si="0"/>
        <v>14.57466634589422</v>
      </c>
    </row>
    <row r="30" spans="2:54" x14ac:dyDescent="0.3">
      <c r="B30" s="38" t="s">
        <v>79</v>
      </c>
      <c r="C30">
        <f t="shared" si="1"/>
        <v>13.938142707253087</v>
      </c>
      <c r="AC30" s="38" t="s">
        <v>479</v>
      </c>
      <c r="AD30">
        <f t="shared" si="0"/>
        <v>13.61342963928441</v>
      </c>
    </row>
    <row r="31" spans="2:54" x14ac:dyDescent="0.3">
      <c r="B31" s="38" t="s">
        <v>80</v>
      </c>
      <c r="C31">
        <f t="shared" si="1"/>
        <v>12.877390244194904</v>
      </c>
      <c r="AC31" s="38" t="s">
        <v>480</v>
      </c>
      <c r="AD31">
        <f t="shared" si="0"/>
        <v>12.516598824159427</v>
      </c>
    </row>
    <row r="32" spans="2:54" x14ac:dyDescent="0.3">
      <c r="B32" s="38" t="s">
        <v>81</v>
      </c>
      <c r="C32">
        <f t="shared" si="1"/>
        <v>11.684086220260989</v>
      </c>
      <c r="AC32" s="38" t="s">
        <v>481</v>
      </c>
      <c r="AD32">
        <f t="shared" si="0"/>
        <v>11.291388006935238</v>
      </c>
    </row>
    <row r="33" spans="2:30" x14ac:dyDescent="0.3">
      <c r="B33" s="38" t="s">
        <v>82</v>
      </c>
      <c r="C33">
        <f t="shared" si="1"/>
        <v>10.387301818811592</v>
      </c>
      <c r="AC33" s="38" t="s">
        <v>482</v>
      </c>
      <c r="AD33">
        <f t="shared" si="0"/>
        <v>9.9720447207615965</v>
      </c>
    </row>
    <row r="34" spans="2:30" x14ac:dyDescent="0.3">
      <c r="B34" s="38" t="s">
        <v>83</v>
      </c>
      <c r="C34">
        <f t="shared" si="1"/>
        <v>8.9998879913411525</v>
      </c>
      <c r="AC34" s="38" t="s">
        <v>483</v>
      </c>
      <c r="AD34">
        <f t="shared" si="0"/>
        <v>8.5740143765496377</v>
      </c>
    </row>
    <row r="35" spans="2:30" x14ac:dyDescent="0.3">
      <c r="B35" s="38" t="s">
        <v>84</v>
      </c>
      <c r="C35">
        <f t="shared" si="1"/>
        <v>6.9603462886895677</v>
      </c>
      <c r="AC35" s="38" t="s">
        <v>484</v>
      </c>
      <c r="AD35">
        <f t="shared" si="0"/>
        <v>6.5439301987334417</v>
      </c>
    </row>
    <row r="36" spans="2:30" x14ac:dyDescent="0.3">
      <c r="B36" s="38" t="s">
        <v>85</v>
      </c>
      <c r="C36">
        <f>E4*(1+disc)^-2</f>
        <v>17.846090131513105</v>
      </c>
      <c r="AC36" s="38" t="s">
        <v>485</v>
      </c>
      <c r="AD36">
        <f t="shared" ref="AD36:AD51" si="2">AF4*(1+disc)^-2</f>
        <v>17.782645461864941</v>
      </c>
    </row>
    <row r="37" spans="2:30" x14ac:dyDescent="0.3">
      <c r="B37" s="38" t="s">
        <v>86</v>
      </c>
      <c r="C37">
        <f t="shared" ref="C36:C51" si="3">E5*(1+disc)^-2</f>
        <v>17.673878699357612</v>
      </c>
      <c r="AC37" s="38" t="s">
        <v>486</v>
      </c>
      <c r="AD37">
        <f t="shared" si="2"/>
        <v>17.597579746911656</v>
      </c>
    </row>
    <row r="38" spans="2:30" x14ac:dyDescent="0.3">
      <c r="B38" s="38" t="s">
        <v>87</v>
      </c>
      <c r="C38">
        <f t="shared" si="3"/>
        <v>17.440314688428671</v>
      </c>
      <c r="AC38" s="38" t="s">
        <v>487</v>
      </c>
      <c r="AD38">
        <f t="shared" si="2"/>
        <v>17.34571599620639</v>
      </c>
    </row>
    <row r="39" spans="2:30" x14ac:dyDescent="0.3">
      <c r="B39" s="38" t="s">
        <v>88</v>
      </c>
      <c r="C39">
        <f t="shared" si="3"/>
        <v>17.169908480369681</v>
      </c>
      <c r="AC39" s="38" t="s">
        <v>488</v>
      </c>
      <c r="AD39">
        <f t="shared" si="2"/>
        <v>17.055603864839437</v>
      </c>
    </row>
    <row r="40" spans="2:30" x14ac:dyDescent="0.3">
      <c r="B40" s="38" t="s">
        <v>89</v>
      </c>
      <c r="C40">
        <f t="shared" si="3"/>
        <v>16.881482932791741</v>
      </c>
      <c r="AC40" s="38" t="s">
        <v>489</v>
      </c>
      <c r="AD40">
        <f t="shared" si="2"/>
        <v>16.749441447527143</v>
      </c>
    </row>
    <row r="41" spans="2:30" x14ac:dyDescent="0.3">
      <c r="B41" s="38" t="s">
        <v>90</v>
      </c>
      <c r="C41">
        <f t="shared" si="3"/>
        <v>16.540310271149949</v>
      </c>
      <c r="AC41" s="38" t="s">
        <v>490</v>
      </c>
      <c r="AD41">
        <f t="shared" si="2"/>
        <v>16.389014949222332</v>
      </c>
    </row>
    <row r="42" spans="2:30" x14ac:dyDescent="0.3">
      <c r="B42" s="38" t="s">
        <v>91</v>
      </c>
      <c r="C42">
        <f t="shared" si="3"/>
        <v>16.10747678372476</v>
      </c>
      <c r="AC42" s="38" t="s">
        <v>491</v>
      </c>
      <c r="AD42">
        <f t="shared" si="2"/>
        <v>15.931705441093305</v>
      </c>
    </row>
    <row r="43" spans="2:30" x14ac:dyDescent="0.3">
      <c r="B43" s="38" t="s">
        <v>92</v>
      </c>
      <c r="C43">
        <f t="shared" si="3"/>
        <v>15.57840096162125</v>
      </c>
      <c r="AC43" s="38" t="s">
        <v>492</v>
      </c>
      <c r="AD43">
        <f t="shared" si="2"/>
        <v>15.374038050096503</v>
      </c>
    </row>
    <row r="44" spans="2:30" x14ac:dyDescent="0.3">
      <c r="B44" s="38" t="s">
        <v>93</v>
      </c>
      <c r="C44">
        <f t="shared" si="3"/>
        <v>14.93980891881912</v>
      </c>
      <c r="AC44" s="38" t="s">
        <v>493</v>
      </c>
      <c r="AD44">
        <f t="shared" si="2"/>
        <v>14.703050648895536</v>
      </c>
    </row>
    <row r="45" spans="2:30" x14ac:dyDescent="0.3">
      <c r="B45" s="38" t="s">
        <v>94</v>
      </c>
      <c r="C45">
        <f t="shared" si="3"/>
        <v>14.182035614381169</v>
      </c>
      <c r="AC45" s="38" t="s">
        <v>494</v>
      </c>
      <c r="AD45">
        <f t="shared" si="2"/>
        <v>13.910139858756013</v>
      </c>
    </row>
    <row r="46" spans="2:30" x14ac:dyDescent="0.3">
      <c r="B46" s="38" t="s">
        <v>95</v>
      </c>
      <c r="C46">
        <f t="shared" si="3"/>
        <v>13.304794321200998</v>
      </c>
      <c r="AC46" s="38" t="s">
        <v>495</v>
      </c>
      <c r="AD46">
        <f t="shared" si="2"/>
        <v>12.997480293052615</v>
      </c>
    </row>
    <row r="47" spans="2:30" x14ac:dyDescent="0.3">
      <c r="B47" s="38" t="s">
        <v>96</v>
      </c>
      <c r="C47">
        <f t="shared" si="3"/>
        <v>12.296767197777291</v>
      </c>
      <c r="AC47" s="38" t="s">
        <v>496</v>
      </c>
      <c r="AD47">
        <f t="shared" si="2"/>
        <v>11.955048275143804</v>
      </c>
    </row>
    <row r="48" spans="2:30" x14ac:dyDescent="0.3">
      <c r="B48" s="38" t="s">
        <v>97</v>
      </c>
      <c r="C48">
        <f t="shared" si="3"/>
        <v>11.161363946051214</v>
      </c>
      <c r="AC48" s="38" t="s">
        <v>497</v>
      </c>
      <c r="AD48">
        <f t="shared" si="2"/>
        <v>10.789107175706675</v>
      </c>
    </row>
    <row r="49" spans="2:30" x14ac:dyDescent="0.3">
      <c r="B49" s="38" t="s">
        <v>98</v>
      </c>
      <c r="C49">
        <f t="shared" si="3"/>
        <v>9.9253948029091692</v>
      </c>
      <c r="AC49" s="38" t="s">
        <v>498</v>
      </c>
      <c r="AD49">
        <f t="shared" si="2"/>
        <v>9.5313611849219217</v>
      </c>
    </row>
    <row r="50" spans="2:30" x14ac:dyDescent="0.3">
      <c r="B50" s="38" t="s">
        <v>99</v>
      </c>
      <c r="C50">
        <f t="shared" si="3"/>
        <v>8.6010653973370026</v>
      </c>
      <c r="AC50" s="38" t="s">
        <v>499</v>
      </c>
      <c r="AD50">
        <f t="shared" si="2"/>
        <v>8.1965429585731879</v>
      </c>
    </row>
    <row r="51" spans="2:30" x14ac:dyDescent="0.3">
      <c r="B51" s="38" t="s">
        <v>100</v>
      </c>
      <c r="C51">
        <f t="shared" si="3"/>
        <v>6.6512490707539049</v>
      </c>
      <c r="AC51" s="38" t="s">
        <v>500</v>
      </c>
      <c r="AD51">
        <f t="shared" si="2"/>
        <v>6.2552151798144031</v>
      </c>
    </row>
    <row r="52" spans="2:30" x14ac:dyDescent="0.3">
      <c r="B52" s="38" t="s">
        <v>101</v>
      </c>
      <c r="C52">
        <f t="shared" ref="C52:C67" si="4">F4*(1+disc)^-3</f>
        <v>17.004122351625778</v>
      </c>
      <c r="AC52" s="38" t="s">
        <v>501</v>
      </c>
      <c r="AD52">
        <f t="shared" ref="AD52:AD67" si="5">AG4*(1+disc)^-3</f>
        <v>16.944513455072126</v>
      </c>
    </row>
    <row r="53" spans="2:30" x14ac:dyDescent="0.3">
      <c r="B53" s="38" t="s">
        <v>102</v>
      </c>
      <c r="C53">
        <f t="shared" si="4"/>
        <v>16.84136210988715</v>
      </c>
      <c r="AC53" s="38" t="s">
        <v>502</v>
      </c>
      <c r="AD53">
        <f t="shared" si="5"/>
        <v>16.769613504292334</v>
      </c>
    </row>
    <row r="54" spans="2:30" x14ac:dyDescent="0.3">
      <c r="B54" s="38" t="s">
        <v>103</v>
      </c>
      <c r="C54">
        <f t="shared" si="4"/>
        <v>16.620962133247108</v>
      </c>
      <c r="AC54" s="38" t="s">
        <v>503</v>
      </c>
      <c r="AD54">
        <f t="shared" si="5"/>
        <v>16.531976587562145</v>
      </c>
    </row>
    <row r="55" spans="2:30" x14ac:dyDescent="0.3">
      <c r="B55" s="38" t="s">
        <v>104</v>
      </c>
      <c r="C55">
        <f t="shared" si="4"/>
        <v>16.365424949907773</v>
      </c>
      <c r="AC55" s="38" t="s">
        <v>504</v>
      </c>
      <c r="AD55">
        <f t="shared" si="5"/>
        <v>16.257837885972037</v>
      </c>
    </row>
    <row r="56" spans="2:30" x14ac:dyDescent="0.3">
      <c r="B56" s="38" t="s">
        <v>105</v>
      </c>
      <c r="C56">
        <f t="shared" si="4"/>
        <v>16.092142203650916</v>
      </c>
      <c r="AC56" s="38" t="s">
        <v>505</v>
      </c>
      <c r="AD56">
        <f t="shared" si="5"/>
        <v>15.967732042611544</v>
      </c>
    </row>
    <row r="57" spans="2:30" x14ac:dyDescent="0.3">
      <c r="B57" s="38" t="s">
        <v>106</v>
      </c>
      <c r="C57">
        <f t="shared" si="4"/>
        <v>15.768711806364005</v>
      </c>
      <c r="AC57" s="38" t="s">
        <v>506</v>
      </c>
      <c r="AD57">
        <f t="shared" si="5"/>
        <v>15.626019659955274</v>
      </c>
    </row>
    <row r="58" spans="2:30" x14ac:dyDescent="0.3">
      <c r="B58" s="38" t="s">
        <v>107</v>
      </c>
      <c r="C58">
        <f t="shared" si="4"/>
        <v>15.358618131338858</v>
      </c>
      <c r="AC58" s="38" t="s">
        <v>507</v>
      </c>
      <c r="AD58">
        <f t="shared" si="5"/>
        <v>15.192720283494664</v>
      </c>
    </row>
    <row r="59" spans="2:30" x14ac:dyDescent="0.3">
      <c r="B59" s="38" t="s">
        <v>108</v>
      </c>
      <c r="C59">
        <f t="shared" si="4"/>
        <v>14.8572570004812</v>
      </c>
      <c r="AC59" s="38" t="s">
        <v>508</v>
      </c>
      <c r="AD59">
        <f t="shared" si="5"/>
        <v>14.664248295682281</v>
      </c>
    </row>
    <row r="60" spans="2:30" x14ac:dyDescent="0.3">
      <c r="B60" s="38" t="s">
        <v>109</v>
      </c>
      <c r="C60">
        <f t="shared" si="4"/>
        <v>14.251891188151792</v>
      </c>
      <c r="AC60" s="38" t="s">
        <v>509</v>
      </c>
      <c r="AD60">
        <f t="shared" si="5"/>
        <v>14.028147767752984</v>
      </c>
    </row>
    <row r="61" spans="2:30" x14ac:dyDescent="0.3">
      <c r="B61" s="38" t="s">
        <v>110</v>
      </c>
      <c r="C61">
        <f t="shared" si="4"/>
        <v>13.533134800233366</v>
      </c>
      <c r="AC61" s="38" t="s">
        <v>510</v>
      </c>
      <c r="AD61">
        <f t="shared" si="5"/>
        <v>13.276022498614326</v>
      </c>
    </row>
    <row r="62" spans="2:30" x14ac:dyDescent="0.3">
      <c r="B62" s="38" t="s">
        <v>111</v>
      </c>
      <c r="C62">
        <f t="shared" si="4"/>
        <v>12.700327715828832</v>
      </c>
      <c r="AC62" s="38" t="s">
        <v>511</v>
      </c>
      <c r="AD62">
        <f t="shared" si="5"/>
        <v>12.409518432745211</v>
      </c>
    </row>
    <row r="63" spans="2:30" x14ac:dyDescent="0.3">
      <c r="B63" s="38" t="s">
        <v>112</v>
      </c>
      <c r="C63">
        <f t="shared" si="4"/>
        <v>11.742428843156393</v>
      </c>
      <c r="AC63" s="38" t="s">
        <v>512</v>
      </c>
      <c r="AD63">
        <f t="shared" si="5"/>
        <v>11.41881277029052</v>
      </c>
    </row>
    <row r="64" spans="2:30" x14ac:dyDescent="0.3">
      <c r="B64" s="38" t="s">
        <v>113</v>
      </c>
      <c r="C64">
        <f t="shared" si="4"/>
        <v>10.662128336151316</v>
      </c>
      <c r="AC64" s="38" t="s">
        <v>513</v>
      </c>
      <c r="AD64">
        <f t="shared" si="5"/>
        <v>10.309285946464408</v>
      </c>
    </row>
    <row r="65" spans="2:30" x14ac:dyDescent="0.3">
      <c r="B65" s="38" t="s">
        <v>114</v>
      </c>
      <c r="C65">
        <f t="shared" si="4"/>
        <v>9.4841173731155539</v>
      </c>
      <c r="AC65" s="38" t="s">
        <v>514</v>
      </c>
      <c r="AD65">
        <f t="shared" si="5"/>
        <v>9.1102548268963552</v>
      </c>
    </row>
    <row r="66" spans="2:30" x14ac:dyDescent="0.3">
      <c r="B66" s="38" t="s">
        <v>115</v>
      </c>
      <c r="C66">
        <f t="shared" si="4"/>
        <v>8.2199869394512302</v>
      </c>
      <c r="AC66" s="38" t="s">
        <v>515</v>
      </c>
      <c r="AD66">
        <f t="shared" si="5"/>
        <v>7.8357707709377493</v>
      </c>
    </row>
    <row r="67" spans="2:30" x14ac:dyDescent="0.3">
      <c r="B67" s="38" t="s">
        <v>116</v>
      </c>
      <c r="C67">
        <f t="shared" si="4"/>
        <v>6.3559152606919573</v>
      </c>
      <c r="AC67" s="38" t="s">
        <v>516</v>
      </c>
      <c r="AD67">
        <f t="shared" si="5"/>
        <v>5.9792804843059635</v>
      </c>
    </row>
    <row r="68" spans="2:30" x14ac:dyDescent="0.3">
      <c r="B68" s="38" t="s">
        <v>117</v>
      </c>
      <c r="C68">
        <f t="shared" ref="C68:C83" si="6">G4*(1+disc)^-4</f>
        <v>16.201492551433798</v>
      </c>
      <c r="AC68" s="38" t="s">
        <v>517</v>
      </c>
      <c r="AD68">
        <f t="shared" ref="AD68:AD83" si="7">AH4*(1+disc)^-4</f>
        <v>16.14545469041277</v>
      </c>
    </row>
    <row r="69" spans="2:30" x14ac:dyDescent="0.3">
      <c r="B69" s="38" t="s">
        <v>118</v>
      </c>
      <c r="C69">
        <f t="shared" si="6"/>
        <v>16.047702758641851</v>
      </c>
      <c r="AC69" s="38" t="s">
        <v>518</v>
      </c>
      <c r="AD69">
        <f t="shared" si="7"/>
        <v>15.980206972107306</v>
      </c>
    </row>
    <row r="70" spans="2:30" x14ac:dyDescent="0.3">
      <c r="B70" s="38" t="s">
        <v>119</v>
      </c>
      <c r="C70">
        <f t="shared" si="6"/>
        <v>15.839694942539927</v>
      </c>
      <c r="AC70" s="38" t="s">
        <v>519</v>
      </c>
      <c r="AD70">
        <f t="shared" si="7"/>
        <v>15.755961609946276</v>
      </c>
    </row>
    <row r="71" spans="2:30" x14ac:dyDescent="0.3">
      <c r="B71" s="38" t="s">
        <v>120</v>
      </c>
      <c r="C71">
        <f t="shared" si="6"/>
        <v>15.598197606984304</v>
      </c>
      <c r="AC71" s="38" t="s">
        <v>520</v>
      </c>
      <c r="AD71">
        <f t="shared" si="7"/>
        <v>15.49690631388232</v>
      </c>
    </row>
    <row r="72" spans="2:30" x14ac:dyDescent="0.3">
      <c r="B72" s="38" t="s">
        <v>121</v>
      </c>
      <c r="C72">
        <f t="shared" si="6"/>
        <v>15.339282317190532</v>
      </c>
      <c r="AC72" s="38" t="s">
        <v>521</v>
      </c>
      <c r="AD72">
        <f t="shared" si="7"/>
        <v>15.222040089550562</v>
      </c>
    </row>
    <row r="73" spans="2:30" x14ac:dyDescent="0.3">
      <c r="B73" s="38" t="s">
        <v>122</v>
      </c>
      <c r="C73">
        <f t="shared" si="6"/>
        <v>15.032661039770504</v>
      </c>
      <c r="AC73" s="38" t="s">
        <v>522</v>
      </c>
      <c r="AD73">
        <f t="shared" si="7"/>
        <v>14.89806174735301</v>
      </c>
    </row>
    <row r="74" spans="2:30" x14ac:dyDescent="0.3">
      <c r="B74" s="38" t="s">
        <v>123</v>
      </c>
      <c r="C74">
        <f t="shared" si="6"/>
        <v>14.644042581260802</v>
      </c>
      <c r="AC74" s="38" t="s">
        <v>523</v>
      </c>
      <c r="AD74">
        <f t="shared" si="7"/>
        <v>14.487437131354167</v>
      </c>
    </row>
    <row r="75" spans="2:30" x14ac:dyDescent="0.3">
      <c r="B75" s="38" t="s">
        <v>124</v>
      </c>
      <c r="C75">
        <f t="shared" si="6"/>
        <v>14.168834034695232</v>
      </c>
      <c r="AC75" s="38" t="s">
        <v>524</v>
      </c>
      <c r="AD75">
        <f t="shared" si="7"/>
        <v>13.986512568012866</v>
      </c>
    </row>
    <row r="76" spans="2:30" x14ac:dyDescent="0.3">
      <c r="B76" s="38" t="s">
        <v>125</v>
      </c>
      <c r="C76">
        <f t="shared" si="6"/>
        <v>13.594837778930328</v>
      </c>
      <c r="AC76" s="38" t="s">
        <v>525</v>
      </c>
      <c r="AD76">
        <f t="shared" si="7"/>
        <v>13.383346477320899</v>
      </c>
    </row>
    <row r="77" spans="2:30" x14ac:dyDescent="0.3">
      <c r="B77" s="38" t="s">
        <v>126</v>
      </c>
      <c r="C77">
        <f t="shared" si="6"/>
        <v>12.912965164225541</v>
      </c>
      <c r="AC77" s="38" t="s">
        <v>526</v>
      </c>
      <c r="AD77">
        <f t="shared" si="7"/>
        <v>12.669774787699122</v>
      </c>
    </row>
    <row r="78" spans="2:30" x14ac:dyDescent="0.3">
      <c r="B78" s="38" t="s">
        <v>127</v>
      </c>
      <c r="C78">
        <f t="shared" si="6"/>
        <v>12.122236734245755</v>
      </c>
      <c r="AC78" s="38" t="s">
        <v>527</v>
      </c>
      <c r="AD78">
        <f t="shared" si="7"/>
        <v>11.846979138506883</v>
      </c>
    </row>
    <row r="79" spans="2:30" x14ac:dyDescent="0.3">
      <c r="B79" s="38" t="s">
        <v>128</v>
      </c>
      <c r="C79">
        <f t="shared" si="6"/>
        <v>11.211923935399941</v>
      </c>
      <c r="AC79" s="38" t="s">
        <v>528</v>
      </c>
      <c r="AD79">
        <f t="shared" si="7"/>
        <v>10.90538022252864</v>
      </c>
    </row>
    <row r="80" spans="2:30" x14ac:dyDescent="0.3">
      <c r="B80" s="38" t="s">
        <v>129</v>
      </c>
      <c r="C80">
        <f t="shared" si="6"/>
        <v>10.18411942751092</v>
      </c>
      <c r="AC80" s="38" t="s">
        <v>529</v>
      </c>
      <c r="AD80">
        <f t="shared" si="7"/>
        <v>9.8496106058497226</v>
      </c>
    </row>
    <row r="81" spans="2:30" x14ac:dyDescent="0.3">
      <c r="B81" s="38" t="s">
        <v>130</v>
      </c>
      <c r="C81">
        <f t="shared" si="6"/>
        <v>9.0615767602621133</v>
      </c>
      <c r="AC81" s="38" t="s">
        <v>530</v>
      </c>
      <c r="AD81">
        <f t="shared" si="7"/>
        <v>8.7067962655183599</v>
      </c>
    </row>
    <row r="82" spans="2:30" x14ac:dyDescent="0.3">
      <c r="B82" s="38" t="s">
        <v>131</v>
      </c>
      <c r="C82">
        <f t="shared" si="6"/>
        <v>7.8552803063949614</v>
      </c>
      <c r="AC82" s="38" t="s">
        <v>531</v>
      </c>
      <c r="AD82">
        <f t="shared" si="7"/>
        <v>7.4903116546547928</v>
      </c>
    </row>
    <row r="83" spans="2:30" x14ac:dyDescent="0.3">
      <c r="B83" s="38" t="s">
        <v>132</v>
      </c>
      <c r="C83">
        <f t="shared" si="6"/>
        <v>6.073812507950735</v>
      </c>
      <c r="AC83" s="38" t="s">
        <v>532</v>
      </c>
      <c r="AD83">
        <f t="shared" si="7"/>
        <v>5.7156088066553243</v>
      </c>
    </row>
    <row r="84" spans="2:30" x14ac:dyDescent="0.3">
      <c r="B84" s="38" t="s">
        <v>133</v>
      </c>
      <c r="C84">
        <f t="shared" ref="C84:C99" si="8">H4*(1+disc)^-5</f>
        <v>15.436767184589421</v>
      </c>
      <c r="AC84" s="38" t="s">
        <v>533</v>
      </c>
      <c r="AD84">
        <f t="shared" ref="AD84:AD99" si="9">AI4*(1+disc)^-5</f>
        <v>15.384099363601067</v>
      </c>
    </row>
    <row r="85" spans="2:30" x14ac:dyDescent="0.3">
      <c r="B85" s="38" t="s">
        <v>134</v>
      </c>
      <c r="C85">
        <f t="shared" si="8"/>
        <v>15.291467936426235</v>
      </c>
      <c r="AC85" s="38" t="s">
        <v>534</v>
      </c>
      <c r="AD85">
        <f t="shared" si="9"/>
        <v>15.227987503263755</v>
      </c>
    </row>
    <row r="86" spans="2:30" x14ac:dyDescent="0.3">
      <c r="B86" s="38" t="s">
        <v>135</v>
      </c>
      <c r="C86">
        <f t="shared" si="8"/>
        <v>15.095178875925821</v>
      </c>
      <c r="AC86" s="38" t="s">
        <v>535</v>
      </c>
      <c r="AD86">
        <f t="shared" si="9"/>
        <v>15.016405438357783</v>
      </c>
    </row>
    <row r="87" spans="2:30" x14ac:dyDescent="0.3">
      <c r="B87" s="38" t="s">
        <v>136</v>
      </c>
      <c r="C87">
        <f t="shared" si="8"/>
        <v>14.866971845797885</v>
      </c>
      <c r="AC87" s="38" t="s">
        <v>536</v>
      </c>
      <c r="AD87">
        <f t="shared" si="9"/>
        <v>14.771628182154309</v>
      </c>
    </row>
    <row r="88" spans="2:30" x14ac:dyDescent="0.3">
      <c r="B88" s="38" t="s">
        <v>137</v>
      </c>
      <c r="C88">
        <f t="shared" si="8"/>
        <v>14.621684065833877</v>
      </c>
      <c r="AC88" s="38" t="s">
        <v>537</v>
      </c>
      <c r="AD88">
        <f t="shared" si="9"/>
        <v>14.511218081432784</v>
      </c>
    </row>
    <row r="89" spans="2:30" x14ac:dyDescent="0.3">
      <c r="B89" s="38" t="s">
        <v>138</v>
      </c>
      <c r="C89">
        <f t="shared" si="8"/>
        <v>14.331014713520872</v>
      </c>
      <c r="AC89" s="38" t="s">
        <v>538</v>
      </c>
      <c r="AD89">
        <f t="shared" si="9"/>
        <v>14.204071527740453</v>
      </c>
    </row>
    <row r="90" spans="2:30" x14ac:dyDescent="0.3">
      <c r="B90" s="38" t="s">
        <v>139</v>
      </c>
      <c r="C90">
        <f t="shared" si="8"/>
        <v>13.962768971603246</v>
      </c>
      <c r="AC90" s="38" t="s">
        <v>539</v>
      </c>
      <c r="AD90">
        <f t="shared" si="9"/>
        <v>13.814959529085408</v>
      </c>
    </row>
    <row r="91" spans="2:30" x14ac:dyDescent="0.3">
      <c r="B91" s="38" t="s">
        <v>140</v>
      </c>
      <c r="C91">
        <f t="shared" si="8"/>
        <v>13.512374419019272</v>
      </c>
      <c r="AC91" s="38" t="s">
        <v>540</v>
      </c>
      <c r="AD91">
        <f t="shared" si="9"/>
        <v>13.340174742873776</v>
      </c>
    </row>
    <row r="92" spans="2:30" x14ac:dyDescent="0.3">
      <c r="B92" s="38" t="s">
        <v>141</v>
      </c>
      <c r="C92">
        <f t="shared" si="8"/>
        <v>12.968150468438305</v>
      </c>
      <c r="AC92" s="38" t="s">
        <v>541</v>
      </c>
      <c r="AD92">
        <f t="shared" si="9"/>
        <v>12.768269090258116</v>
      </c>
    </row>
    <row r="93" spans="2:30" x14ac:dyDescent="0.3">
      <c r="B93" s="38" t="s">
        <v>142</v>
      </c>
      <c r="C93">
        <f t="shared" si="8"/>
        <v>12.321298046506595</v>
      </c>
      <c r="AC93" s="38" t="s">
        <v>542</v>
      </c>
      <c r="AD93">
        <f t="shared" si="9"/>
        <v>12.091306766341143</v>
      </c>
    </row>
    <row r="94" spans="2:30" x14ac:dyDescent="0.3">
      <c r="B94" s="38" t="s">
        <v>143</v>
      </c>
      <c r="C94">
        <f t="shared" si="8"/>
        <v>11.57054848214719</v>
      </c>
      <c r="AC94" s="38" t="s">
        <v>543</v>
      </c>
      <c r="AD94">
        <f t="shared" si="9"/>
        <v>11.310043453883292</v>
      </c>
    </row>
    <row r="95" spans="2:30" x14ac:dyDescent="0.3">
      <c r="B95" s="38" t="s">
        <v>144</v>
      </c>
      <c r="C95">
        <f t="shared" si="8"/>
        <v>10.705478868584894</v>
      </c>
      <c r="AC95" s="38" t="s">
        <v>544</v>
      </c>
      <c r="AD95">
        <f t="shared" si="9"/>
        <v>10.415139904315097</v>
      </c>
    </row>
    <row r="96" spans="2:30" x14ac:dyDescent="0.3">
      <c r="B96" s="38" t="s">
        <v>145</v>
      </c>
      <c r="C96">
        <f t="shared" si="8"/>
        <v>9.7276307664851061</v>
      </c>
      <c r="AC96" s="38" t="s">
        <v>545</v>
      </c>
      <c r="AD96">
        <f t="shared" si="9"/>
        <v>9.4105347428778021</v>
      </c>
    </row>
    <row r="97" spans="2:30" x14ac:dyDescent="0.3">
      <c r="B97" s="38" t="s">
        <v>146</v>
      </c>
      <c r="C97">
        <f t="shared" si="8"/>
        <v>8.6579422733633873</v>
      </c>
      <c r="AC97" s="38" t="s">
        <v>546</v>
      </c>
      <c r="AD97">
        <f t="shared" si="9"/>
        <v>8.3212979957159465</v>
      </c>
    </row>
    <row r="98" spans="2:30" x14ac:dyDescent="0.3">
      <c r="B98" s="38" t="s">
        <v>147</v>
      </c>
      <c r="C98">
        <f t="shared" si="8"/>
        <v>7.5068207503587541</v>
      </c>
      <c r="AC98" s="38" t="s">
        <v>547</v>
      </c>
      <c r="AD98">
        <f t="shared" si="9"/>
        <v>7.1601580590056644</v>
      </c>
    </row>
    <row r="99" spans="2:30" x14ac:dyDescent="0.3">
      <c r="B99" s="38" t="s">
        <v>148</v>
      </c>
      <c r="C99">
        <f t="shared" si="8"/>
        <v>5.8042671221577766</v>
      </c>
      <c r="AC99" s="38" t="s">
        <v>548</v>
      </c>
      <c r="AD99">
        <f t="shared" si="9"/>
        <v>5.463606082293869</v>
      </c>
    </row>
    <row r="100" spans="2:30" x14ac:dyDescent="0.3">
      <c r="B100" s="38" t="s">
        <v>149</v>
      </c>
      <c r="C100">
        <f t="shared" ref="C100:C115" si="10">I4*(1+disc)^-6</f>
        <v>14.708155460640933</v>
      </c>
      <c r="AC100" s="38" t="s">
        <v>549</v>
      </c>
      <c r="AD100">
        <f t="shared" ref="AD100:AD115" si="11">AJ4*(1+disc)^-6</f>
        <v>14.658667587299764</v>
      </c>
    </row>
    <row r="101" spans="2:30" x14ac:dyDescent="0.3">
      <c r="B101" s="38" t="s">
        <v>150</v>
      </c>
      <c r="C101">
        <f t="shared" si="10"/>
        <v>14.57089200382172</v>
      </c>
      <c r="AC101" s="38" t="s">
        <v>550</v>
      </c>
      <c r="AD101">
        <f t="shared" si="11"/>
        <v>14.51120225602441</v>
      </c>
    </row>
    <row r="102" spans="2:30" x14ac:dyDescent="0.3">
      <c r="B102" s="38" t="s">
        <v>151</v>
      </c>
      <c r="C102">
        <f t="shared" si="10"/>
        <v>14.385684047343371</v>
      </c>
      <c r="AC102" s="38" t="s">
        <v>551</v>
      </c>
      <c r="AD102">
        <f t="shared" si="11"/>
        <v>14.311593898299892</v>
      </c>
    </row>
    <row r="103" spans="2:30" x14ac:dyDescent="0.3">
      <c r="B103" s="38" t="s">
        <v>152</v>
      </c>
      <c r="C103">
        <f t="shared" si="10"/>
        <v>14.170057006565097</v>
      </c>
      <c r="AC103" s="38" t="s">
        <v>552</v>
      </c>
      <c r="AD103">
        <f t="shared" si="11"/>
        <v>14.080331444881464</v>
      </c>
    </row>
    <row r="104" spans="2:30" x14ac:dyDescent="0.3">
      <c r="B104" s="38" t="s">
        <v>153</v>
      </c>
      <c r="C104">
        <f t="shared" si="10"/>
        <v>13.937694341379462</v>
      </c>
      <c r="AC104" s="38" t="s">
        <v>553</v>
      </c>
      <c r="AD104">
        <f t="shared" si="11"/>
        <v>13.833633648605186</v>
      </c>
    </row>
    <row r="105" spans="2:30" x14ac:dyDescent="0.3">
      <c r="B105" s="38" t="s">
        <v>154</v>
      </c>
      <c r="C105">
        <f t="shared" si="10"/>
        <v>13.662162839905877</v>
      </c>
      <c r="AC105" s="38" t="s">
        <v>554</v>
      </c>
      <c r="AD105">
        <f t="shared" si="11"/>
        <v>13.542461894385212</v>
      </c>
    </row>
    <row r="106" spans="2:30" x14ac:dyDescent="0.3">
      <c r="B106" s="38" t="s">
        <v>155</v>
      </c>
      <c r="C106">
        <f t="shared" si="10"/>
        <v>13.313243115305516</v>
      </c>
      <c r="AC106" s="38" t="s">
        <v>555</v>
      </c>
      <c r="AD106">
        <f t="shared" si="11"/>
        <v>13.173759065783978</v>
      </c>
    </row>
    <row r="107" spans="2:30" x14ac:dyDescent="0.3">
      <c r="B107" s="38" t="s">
        <v>156</v>
      </c>
      <c r="C107">
        <f t="shared" si="10"/>
        <v>12.886391551139539</v>
      </c>
      <c r="AC107" s="38" t="s">
        <v>556</v>
      </c>
      <c r="AD107">
        <f t="shared" si="11"/>
        <v>12.723777332553004</v>
      </c>
    </row>
    <row r="108" spans="2:30" x14ac:dyDescent="0.3">
      <c r="B108" s="38" t="s">
        <v>157</v>
      </c>
      <c r="C108">
        <f t="shared" si="10"/>
        <v>12.37042295171023</v>
      </c>
      <c r="AC108" s="38" t="s">
        <v>557</v>
      </c>
      <c r="AD108">
        <f t="shared" si="11"/>
        <v>12.181542092879084</v>
      </c>
    </row>
    <row r="109" spans="2:30" x14ac:dyDescent="0.3">
      <c r="B109" s="38" t="s">
        <v>158</v>
      </c>
      <c r="C109">
        <f t="shared" si="10"/>
        <v>11.756820233080363</v>
      </c>
      <c r="AC109" s="38" t="s">
        <v>558</v>
      </c>
      <c r="AD109">
        <f t="shared" si="11"/>
        <v>11.539341817382379</v>
      </c>
    </row>
    <row r="110" spans="2:30" x14ac:dyDescent="0.3">
      <c r="B110" s="38" t="s">
        <v>159</v>
      </c>
      <c r="C110">
        <f t="shared" si="10"/>
        <v>11.044053553831032</v>
      </c>
      <c r="AC110" s="38" t="s">
        <v>559</v>
      </c>
      <c r="AD110">
        <f t="shared" si="11"/>
        <v>10.797542061255403</v>
      </c>
    </row>
    <row r="111" spans="2:30" x14ac:dyDescent="0.3">
      <c r="B111" s="38" t="s">
        <v>160</v>
      </c>
      <c r="C111">
        <f t="shared" si="10"/>
        <v>10.221998789979047</v>
      </c>
      <c r="AC111" s="38" t="s">
        <v>560</v>
      </c>
      <c r="AD111">
        <f t="shared" si="11"/>
        <v>9.9470400658039253</v>
      </c>
    </row>
    <row r="112" spans="2:30" x14ac:dyDescent="0.3">
      <c r="B112" s="38" t="s">
        <v>161</v>
      </c>
      <c r="C112">
        <f t="shared" si="10"/>
        <v>9.2916898996060091</v>
      </c>
      <c r="AC112" s="38" t="s">
        <v>561</v>
      </c>
      <c r="AD112">
        <f t="shared" si="11"/>
        <v>8.9911311897200807</v>
      </c>
    </row>
    <row r="113" spans="2:30" x14ac:dyDescent="0.3">
      <c r="B113" s="38" t="s">
        <v>162</v>
      </c>
      <c r="C113">
        <f t="shared" si="10"/>
        <v>8.2723647040478596</v>
      </c>
      <c r="AC113" s="38" t="s">
        <v>562</v>
      </c>
      <c r="AD113">
        <f t="shared" si="11"/>
        <v>7.9529568303743439</v>
      </c>
    </row>
    <row r="114" spans="2:30" x14ac:dyDescent="0.3">
      <c r="B114" s="38" t="s">
        <v>163</v>
      </c>
      <c r="C114">
        <f t="shared" si="10"/>
        <v>7.1738817862699369</v>
      </c>
      <c r="AC114" s="38" t="s">
        <v>563</v>
      </c>
      <c r="AD114">
        <f t="shared" si="11"/>
        <v>6.8446288421887482</v>
      </c>
    </row>
    <row r="115" spans="2:30" x14ac:dyDescent="0.3">
      <c r="B115" s="38" t="s">
        <v>164</v>
      </c>
      <c r="C115">
        <f t="shared" si="10"/>
        <v>5.5467185794346285</v>
      </c>
      <c r="AC115" s="38" t="s">
        <v>564</v>
      </c>
      <c r="AD115">
        <f t="shared" si="11"/>
        <v>5.2227541480294377</v>
      </c>
    </row>
    <row r="116" spans="2:30" x14ac:dyDescent="0.3">
      <c r="B116" s="38" t="s">
        <v>165</v>
      </c>
      <c r="C116">
        <f t="shared" ref="C116:C131" si="12">J4*(1+disc)^-7</f>
        <v>14.013951224734457</v>
      </c>
      <c r="AC116" s="38" t="s">
        <v>565</v>
      </c>
      <c r="AD116">
        <f t="shared" ref="AD116:AD131" si="13">AK4*(1+disc)^-7</f>
        <v>13.96746353241158</v>
      </c>
    </row>
    <row r="117" spans="2:30" x14ac:dyDescent="0.3">
      <c r="B117" s="38" t="s">
        <v>166</v>
      </c>
      <c r="C117">
        <f t="shared" si="12"/>
        <v>13.88429265846678</v>
      </c>
      <c r="AC117" s="38" t="s">
        <v>566</v>
      </c>
      <c r="AD117">
        <f t="shared" si="13"/>
        <v>13.828181051797891</v>
      </c>
    </row>
    <row r="118" spans="2:30" x14ac:dyDescent="0.3">
      <c r="B118" s="38" t="s">
        <v>167</v>
      </c>
      <c r="C118">
        <f t="shared" si="12"/>
        <v>13.709562041021831</v>
      </c>
      <c r="AC118" s="38" t="s">
        <v>567</v>
      </c>
      <c r="AD118">
        <f t="shared" si="13"/>
        <v>13.639893460124362</v>
      </c>
    </row>
    <row r="119" spans="2:30" x14ac:dyDescent="0.3">
      <c r="B119" s="38" t="s">
        <v>168</v>
      </c>
      <c r="C119">
        <f t="shared" si="12"/>
        <v>13.505841876517099</v>
      </c>
      <c r="AC119" s="38" t="s">
        <v>568</v>
      </c>
      <c r="AD119">
        <f t="shared" si="13"/>
        <v>13.421422529598756</v>
      </c>
    </row>
    <row r="120" spans="2:30" x14ac:dyDescent="0.3">
      <c r="B120" s="38" t="s">
        <v>169</v>
      </c>
      <c r="C120">
        <f t="shared" si="12"/>
        <v>13.285737597631899</v>
      </c>
      <c r="AC120" s="38" t="s">
        <v>569</v>
      </c>
      <c r="AD120">
        <f t="shared" si="13"/>
        <v>13.187730907755508</v>
      </c>
    </row>
    <row r="121" spans="2:30" x14ac:dyDescent="0.3">
      <c r="B121" s="38" t="s">
        <v>170</v>
      </c>
      <c r="C121">
        <f t="shared" si="12"/>
        <v>13.02457084607599</v>
      </c>
      <c r="AC121" s="38" t="s">
        <v>570</v>
      </c>
      <c r="AD121">
        <f t="shared" si="13"/>
        <v>12.911719979567268</v>
      </c>
    </row>
    <row r="122" spans="2:30" x14ac:dyDescent="0.3">
      <c r="B122" s="38" t="s">
        <v>171</v>
      </c>
      <c r="C122">
        <f t="shared" si="12"/>
        <v>12.693983445683019</v>
      </c>
      <c r="AC122" s="38" t="s">
        <v>571</v>
      </c>
      <c r="AD122">
        <f t="shared" si="13"/>
        <v>12.562378636746084</v>
      </c>
    </row>
    <row r="123" spans="2:30" x14ac:dyDescent="0.3">
      <c r="B123" s="38" t="s">
        <v>172</v>
      </c>
      <c r="C123">
        <f t="shared" si="12"/>
        <v>12.289468071402561</v>
      </c>
      <c r="AC123" s="38" t="s">
        <v>572</v>
      </c>
      <c r="AD123">
        <f t="shared" si="13"/>
        <v>12.135930618950228</v>
      </c>
    </row>
    <row r="124" spans="2:30" x14ac:dyDescent="0.3">
      <c r="B124" s="38" t="s">
        <v>173</v>
      </c>
      <c r="C124">
        <f t="shared" si="12"/>
        <v>11.800314168132774</v>
      </c>
      <c r="AC124" s="38" t="s">
        <v>573</v>
      </c>
      <c r="AD124">
        <f t="shared" si="13"/>
        <v>11.621855569401227</v>
      </c>
    </row>
    <row r="125" spans="2:30" x14ac:dyDescent="0.3">
      <c r="B125" s="38" t="s">
        <v>174</v>
      </c>
      <c r="C125">
        <f t="shared" si="12"/>
        <v>11.218279144093149</v>
      </c>
      <c r="AC125" s="38" t="s">
        <v>574</v>
      </c>
      <c r="AD125">
        <f t="shared" si="13"/>
        <v>11.012662134538227</v>
      </c>
    </row>
    <row r="126" spans="2:30" x14ac:dyDescent="0.3">
      <c r="B126" s="38" t="s">
        <v>175</v>
      </c>
      <c r="C126">
        <f t="shared" si="12"/>
        <v>10.541598082418806</v>
      </c>
      <c r="AC126" s="38" t="s">
        <v>575</v>
      </c>
      <c r="AD126">
        <f t="shared" si="13"/>
        <v>10.308359201464816</v>
      </c>
    </row>
    <row r="127" spans="2:30" x14ac:dyDescent="0.3">
      <c r="B127" s="38" t="s">
        <v>176</v>
      </c>
      <c r="C127">
        <f t="shared" si="12"/>
        <v>9.760438815296828</v>
      </c>
      <c r="AC127" s="38" t="s">
        <v>576</v>
      </c>
      <c r="AD127">
        <f t="shared" si="13"/>
        <v>9.5000768151515</v>
      </c>
    </row>
    <row r="128" spans="2:30" x14ac:dyDescent="0.3">
      <c r="B128" s="38" t="s">
        <v>177</v>
      </c>
      <c r="C128">
        <f t="shared" si="12"/>
        <v>8.875368460999999</v>
      </c>
      <c r="AC128" s="38" t="s">
        <v>577</v>
      </c>
      <c r="AD128">
        <f t="shared" si="13"/>
        <v>8.5905146687853886</v>
      </c>
    </row>
    <row r="129" spans="2:30" x14ac:dyDescent="0.3">
      <c r="B129" s="38" t="s">
        <v>178</v>
      </c>
      <c r="C129">
        <f t="shared" si="12"/>
        <v>7.904033120684546</v>
      </c>
      <c r="AC129" s="38" t="s">
        <v>578</v>
      </c>
      <c r="AD129">
        <f t="shared" si="13"/>
        <v>7.6010056469162164</v>
      </c>
    </row>
    <row r="130" spans="2:30" x14ac:dyDescent="0.3">
      <c r="B130" s="38" t="s">
        <v>179</v>
      </c>
      <c r="C130">
        <f t="shared" si="12"/>
        <v>6.8557695251584869</v>
      </c>
      <c r="AC130" s="38" t="s">
        <v>579</v>
      </c>
      <c r="AD130">
        <f t="shared" si="13"/>
        <v>6.5430732979008868</v>
      </c>
    </row>
    <row r="131" spans="2:30" x14ac:dyDescent="0.3">
      <c r="B131" s="38" t="s">
        <v>180</v>
      </c>
      <c r="C131">
        <f t="shared" si="12"/>
        <v>5.3006314421021248</v>
      </c>
      <c r="AC131" s="38" t="s">
        <v>580</v>
      </c>
      <c r="AD131">
        <f t="shared" si="13"/>
        <v>4.9925579230005148</v>
      </c>
    </row>
    <row r="132" spans="2:30" x14ac:dyDescent="0.3">
      <c r="B132" s="38" t="s">
        <v>181</v>
      </c>
      <c r="C132">
        <f t="shared" ref="C132:C147" si="14">K4*(1+disc)^-8</f>
        <v>13.352528956381086</v>
      </c>
      <c r="AC132" s="38" t="s">
        <v>581</v>
      </c>
      <c r="AD132">
        <f t="shared" ref="AD132:AD147" si="15">AL4*(1+disc)^-8</f>
        <v>13.308871456907887</v>
      </c>
    </row>
    <row r="133" spans="2:30" x14ac:dyDescent="0.3">
      <c r="B133" s="38" t="s">
        <v>182</v>
      </c>
      <c r="C133">
        <f t="shared" si="14"/>
        <v>13.230067000113428</v>
      </c>
      <c r="AC133" s="38" t="s">
        <v>582</v>
      </c>
      <c r="AD133">
        <f t="shared" si="15"/>
        <v>13.177332475112202</v>
      </c>
    </row>
    <row r="134" spans="2:30" x14ac:dyDescent="0.3">
      <c r="B134" s="38" t="s">
        <v>183</v>
      </c>
      <c r="C134">
        <f t="shared" si="14"/>
        <v>13.065242072788832</v>
      </c>
      <c r="AC134" s="38" t="s">
        <v>583</v>
      </c>
      <c r="AD134">
        <f t="shared" si="15"/>
        <v>12.999747443020453</v>
      </c>
    </row>
    <row r="135" spans="2:30" x14ac:dyDescent="0.3">
      <c r="B135" s="38" t="s">
        <v>184</v>
      </c>
      <c r="C135">
        <f t="shared" si="14"/>
        <v>12.872790954428371</v>
      </c>
      <c r="AC135" s="38" t="s">
        <v>584</v>
      </c>
      <c r="AD135">
        <f t="shared" si="15"/>
        <v>12.793382651957348</v>
      </c>
    </row>
    <row r="136" spans="2:30" x14ac:dyDescent="0.3">
      <c r="B136" s="38" t="s">
        <v>185</v>
      </c>
      <c r="C136">
        <f t="shared" si="14"/>
        <v>12.664312208767639</v>
      </c>
      <c r="AC136" s="38" t="s">
        <v>585</v>
      </c>
      <c r="AD136">
        <f t="shared" si="15"/>
        <v>12.572026875278263</v>
      </c>
    </row>
    <row r="137" spans="2:30" x14ac:dyDescent="0.3">
      <c r="B137" s="38" t="s">
        <v>186</v>
      </c>
      <c r="C137">
        <f t="shared" si="14"/>
        <v>12.41677603848915</v>
      </c>
      <c r="AC137" s="38" t="s">
        <v>586</v>
      </c>
      <c r="AD137">
        <f t="shared" si="15"/>
        <v>12.310403678654488</v>
      </c>
    </row>
    <row r="138" spans="2:30" x14ac:dyDescent="0.3">
      <c r="B138" s="38" t="s">
        <v>187</v>
      </c>
      <c r="C138">
        <f t="shared" si="14"/>
        <v>12.103577619692048</v>
      </c>
      <c r="AC138" s="38" t="s">
        <v>587</v>
      </c>
      <c r="AD138">
        <f t="shared" si="15"/>
        <v>11.979429112897975</v>
      </c>
    </row>
    <row r="139" spans="2:30" x14ac:dyDescent="0.3">
      <c r="B139" s="38" t="s">
        <v>188</v>
      </c>
      <c r="C139">
        <f t="shared" si="14"/>
        <v>11.720252633575019</v>
      </c>
      <c r="AC139" s="38" t="s">
        <v>588</v>
      </c>
      <c r="AD139">
        <f t="shared" si="15"/>
        <v>11.57530949797971</v>
      </c>
    </row>
    <row r="140" spans="2:30" x14ac:dyDescent="0.3">
      <c r="B140" s="38" t="s">
        <v>189</v>
      </c>
      <c r="C140">
        <f t="shared" si="14"/>
        <v>11.256545269835394</v>
      </c>
      <c r="AC140" s="38" t="s">
        <v>589</v>
      </c>
      <c r="AD140">
        <f t="shared" si="15"/>
        <v>11.087960252067598</v>
      </c>
    </row>
    <row r="141" spans="2:30" x14ac:dyDescent="0.3">
      <c r="B141" s="38" t="s">
        <v>190</v>
      </c>
      <c r="C141">
        <f t="shared" si="14"/>
        <v>10.70448002901963</v>
      </c>
      <c r="AC141" s="38" t="s">
        <v>590</v>
      </c>
      <c r="AD141">
        <f t="shared" si="15"/>
        <v>10.5101060074392</v>
      </c>
    </row>
    <row r="142" spans="2:30" x14ac:dyDescent="0.3">
      <c r="B142" s="38" t="s">
        <v>191</v>
      </c>
      <c r="C142">
        <f t="shared" si="14"/>
        <v>10.062081183738499</v>
      </c>
      <c r="AC142" s="38" t="s">
        <v>591</v>
      </c>
      <c r="AD142">
        <f t="shared" si="15"/>
        <v>9.8414302145267083</v>
      </c>
    </row>
    <row r="143" spans="2:30" x14ac:dyDescent="0.3">
      <c r="B143" s="38" t="s">
        <v>192</v>
      </c>
      <c r="C143">
        <f t="shared" si="14"/>
        <v>9.3198017422734214</v>
      </c>
      <c r="AC143" s="38" t="s">
        <v>592</v>
      </c>
      <c r="AD143">
        <f t="shared" si="15"/>
        <v>9.0732919344286191</v>
      </c>
    </row>
    <row r="144" spans="2:30" x14ac:dyDescent="0.3">
      <c r="B144" s="38" t="s">
        <v>193</v>
      </c>
      <c r="C144">
        <f t="shared" si="14"/>
        <v>8.4777801677836564</v>
      </c>
      <c r="AC144" s="38" t="s">
        <v>593</v>
      </c>
      <c r="AD144">
        <f t="shared" si="15"/>
        <v>8.2078398937815962</v>
      </c>
    </row>
    <row r="145" spans="2:30" x14ac:dyDescent="0.3">
      <c r="B145" s="38" t="s">
        <v>194</v>
      </c>
      <c r="C145">
        <f t="shared" si="14"/>
        <v>7.5521731377209118</v>
      </c>
      <c r="AC145" s="38" t="s">
        <v>594</v>
      </c>
      <c r="AD145">
        <f t="shared" si="15"/>
        <v>7.2647117621157911</v>
      </c>
    </row>
    <row r="146" spans="2:30" x14ac:dyDescent="0.3">
      <c r="B146" s="38" t="s">
        <v>195</v>
      </c>
      <c r="C146">
        <f t="shared" si="14"/>
        <v>6.5518212070294748</v>
      </c>
      <c r="AC146" s="38" t="s">
        <v>595</v>
      </c>
      <c r="AD146">
        <f t="shared" si="15"/>
        <v>6.2548697904164934</v>
      </c>
    </row>
    <row r="147" spans="2:30" x14ac:dyDescent="0.3">
      <c r="B147" s="38" t="s">
        <v>196</v>
      </c>
      <c r="C147">
        <f t="shared" si="14"/>
        <v>5.0654942331391828</v>
      </c>
      <c r="AC147" s="38" t="s">
        <v>596</v>
      </c>
      <c r="AD147">
        <f t="shared" si="15"/>
        <v>4.7725443773771801</v>
      </c>
    </row>
    <row r="148" spans="2:30" x14ac:dyDescent="0.3">
      <c r="B148" s="38" t="s">
        <v>197</v>
      </c>
      <c r="C148">
        <f t="shared" ref="C148:C163" si="16">L4*(1+disc)^-9</f>
        <v>12.721923863346287</v>
      </c>
      <c r="AC148" s="38" t="s">
        <v>597</v>
      </c>
      <c r="AD148">
        <f t="shared" ref="AD148:AD163" si="17">AM4*(1+disc)^-9</f>
        <v>12.680886768079985</v>
      </c>
    </row>
    <row r="149" spans="2:30" x14ac:dyDescent="0.3">
      <c r="B149" s="38" t="s">
        <v>198</v>
      </c>
      <c r="C149">
        <f t="shared" si="16"/>
        <v>12.606260731513846</v>
      </c>
      <c r="AC149" s="38" t="s">
        <v>598</v>
      </c>
      <c r="AD149">
        <f t="shared" si="17"/>
        <v>12.556664560107444</v>
      </c>
    </row>
    <row r="150" spans="2:30" x14ac:dyDescent="0.3">
      <c r="B150" s="38" t="s">
        <v>199</v>
      </c>
      <c r="C150">
        <f t="shared" si="16"/>
        <v>12.450725837990872</v>
      </c>
      <c r="AC150" s="38" t="s">
        <v>599</v>
      </c>
      <c r="AD150">
        <f t="shared" si="17"/>
        <v>12.389114758687519</v>
      </c>
    </row>
    <row r="151" spans="2:30" x14ac:dyDescent="0.3">
      <c r="B151" s="38" t="s">
        <v>200</v>
      </c>
      <c r="C151">
        <f t="shared" si="16"/>
        <v>12.268880684872427</v>
      </c>
      <c r="AC151" s="38" t="s">
        <v>600</v>
      </c>
      <c r="AD151">
        <f t="shared" si="17"/>
        <v>12.194142939578617</v>
      </c>
    </row>
    <row r="152" spans="2:30" x14ac:dyDescent="0.3">
      <c r="B152" s="38" t="s">
        <v>201</v>
      </c>
      <c r="C152">
        <f t="shared" si="16"/>
        <v>12.071407972561843</v>
      </c>
      <c r="AC152" s="38" t="s">
        <v>601</v>
      </c>
      <c r="AD152">
        <f t="shared" si="17"/>
        <v>11.984468605921165</v>
      </c>
    </row>
    <row r="153" spans="2:30" x14ac:dyDescent="0.3">
      <c r="B153" s="38" t="s">
        <v>202</v>
      </c>
      <c r="C153">
        <f t="shared" si="16"/>
        <v>11.836770756523373</v>
      </c>
      <c r="AC153" s="38" t="s">
        <v>602</v>
      </c>
      <c r="AD153">
        <f t="shared" si="17"/>
        <v>11.736463741329917</v>
      </c>
    </row>
    <row r="154" spans="2:30" x14ac:dyDescent="0.3">
      <c r="B154" s="38" t="s">
        <v>203</v>
      </c>
      <c r="C154">
        <f t="shared" si="16"/>
        <v>11.539992061098568</v>
      </c>
      <c r="AC154" s="38" t="s">
        <v>603</v>
      </c>
      <c r="AD154">
        <f t="shared" si="17"/>
        <v>11.422832791509869</v>
      </c>
    </row>
    <row r="155" spans="2:30" x14ac:dyDescent="0.3">
      <c r="B155" s="38" t="s">
        <v>204</v>
      </c>
      <c r="C155">
        <f t="shared" si="16"/>
        <v>11.176668396923954</v>
      </c>
      <c r="AC155" s="38" t="s">
        <v>604</v>
      </c>
      <c r="AD155">
        <f t="shared" si="17"/>
        <v>11.039788137207246</v>
      </c>
    </row>
    <row r="156" spans="2:30" x14ac:dyDescent="0.3">
      <c r="B156" s="38" t="s">
        <v>205</v>
      </c>
      <c r="C156">
        <f t="shared" si="16"/>
        <v>10.736987610999114</v>
      </c>
      <c r="AC156" s="38" t="s">
        <v>605</v>
      </c>
      <c r="AD156">
        <f t="shared" si="17"/>
        <v>10.577672239980632</v>
      </c>
    </row>
    <row r="157" spans="2:30" x14ac:dyDescent="0.3">
      <c r="B157" s="38" t="s">
        <v>206</v>
      </c>
      <c r="C157">
        <f t="shared" si="16"/>
        <v>10.213256840281314</v>
      </c>
      <c r="AC157" s="38" t="s">
        <v>606</v>
      </c>
      <c r="AD157">
        <f t="shared" si="17"/>
        <v>10.02944685153728</v>
      </c>
    </row>
    <row r="158" spans="2:30" x14ac:dyDescent="0.3">
      <c r="B158" s="38" t="s">
        <v>207</v>
      </c>
      <c r="C158">
        <f t="shared" si="16"/>
        <v>9.6033415044451935</v>
      </c>
      <c r="AC158" s="38" t="s">
        <v>607</v>
      </c>
      <c r="AD158">
        <f t="shared" si="17"/>
        <v>9.3945313797407852</v>
      </c>
    </row>
    <row r="159" spans="2:30" x14ac:dyDescent="0.3">
      <c r="B159" s="38" t="s">
        <v>208</v>
      </c>
      <c r="C159">
        <f t="shared" si="16"/>
        <v>8.8979776625834273</v>
      </c>
      <c r="AC159" s="38" t="s">
        <v>608</v>
      </c>
      <c r="AD159">
        <f t="shared" si="17"/>
        <v>8.6645140094469326</v>
      </c>
    </row>
    <row r="160" spans="2:30" x14ac:dyDescent="0.3">
      <c r="B160" s="38" t="s">
        <v>209</v>
      </c>
      <c r="C160">
        <f t="shared" si="16"/>
        <v>8.0969508805247319</v>
      </c>
      <c r="AC160" s="38" t="s">
        <v>609</v>
      </c>
      <c r="AD160">
        <f t="shared" si="17"/>
        <v>7.8410768504839803</v>
      </c>
    </row>
    <row r="161" spans="2:30" x14ac:dyDescent="0.3">
      <c r="B161" s="38" t="s">
        <v>210</v>
      </c>
      <c r="C161">
        <f t="shared" si="16"/>
        <v>7.215099151762101</v>
      </c>
      <c r="AC161" s="38" t="s">
        <v>610</v>
      </c>
      <c r="AD161">
        <f t="shared" si="17"/>
        <v>6.9423487019971653</v>
      </c>
    </row>
    <row r="162" spans="2:30" x14ac:dyDescent="0.3">
      <c r="B162" s="38" t="s">
        <v>211</v>
      </c>
      <c r="C162">
        <f t="shared" si="16"/>
        <v>6.2607677354592708</v>
      </c>
      <c r="AC162" s="38" t="s">
        <v>611</v>
      </c>
      <c r="AD162">
        <f t="shared" si="17"/>
        <v>5.9787280473759603</v>
      </c>
    </row>
    <row r="163" spans="2:30" x14ac:dyDescent="0.3">
      <c r="B163" s="38" t="s">
        <v>212</v>
      </c>
      <c r="C163">
        <f t="shared" si="16"/>
        <v>4.8407527019588059</v>
      </c>
      <c r="AC163" s="38" t="s">
        <v>612</v>
      </c>
      <c r="AD163">
        <f t="shared" si="17"/>
        <v>4.562164450411851</v>
      </c>
    </row>
    <row r="164" spans="2:30" x14ac:dyDescent="0.3">
      <c r="B164" s="38" t="s">
        <v>213</v>
      </c>
      <c r="C164">
        <f t="shared" ref="C164:C179" si="18">M4*(1+disc)^-10</f>
        <v>12.121114421536166</v>
      </c>
      <c r="AC164" s="38" t="s">
        <v>613</v>
      </c>
      <c r="AD164">
        <f t="shared" ref="AD164:AD179" si="19">AN4*(1+disc)^-10</f>
        <v>12.082550059988813</v>
      </c>
    </row>
    <row r="165" spans="2:30" x14ac:dyDescent="0.3">
      <c r="B165" s="38" t="s">
        <v>214</v>
      </c>
      <c r="C165">
        <f t="shared" si="18"/>
        <v>12.011884307841989</v>
      </c>
      <c r="AC165" s="38" t="s">
        <v>614</v>
      </c>
      <c r="AD165">
        <f t="shared" si="19"/>
        <v>11.965250780225167</v>
      </c>
    </row>
    <row r="166" spans="2:30" x14ac:dyDescent="0.3">
      <c r="B166" s="38" t="s">
        <v>215</v>
      </c>
      <c r="C166">
        <f t="shared" si="18"/>
        <v>11.8651336566968</v>
      </c>
      <c r="AC166" s="38" t="s">
        <v>615</v>
      </c>
      <c r="AD166">
        <f t="shared" si="19"/>
        <v>11.807189309626546</v>
      </c>
    </row>
    <row r="167" spans="2:30" x14ac:dyDescent="0.3">
      <c r="B167" s="38" t="s">
        <v>216</v>
      </c>
      <c r="C167">
        <f t="shared" si="18"/>
        <v>11.693326864907549</v>
      </c>
      <c r="AC167" s="38" t="s">
        <v>616</v>
      </c>
      <c r="AD167">
        <f t="shared" si="19"/>
        <v>11.623000500576834</v>
      </c>
    </row>
    <row r="168" spans="2:30" x14ac:dyDescent="0.3">
      <c r="B168" s="38" t="s">
        <v>217</v>
      </c>
      <c r="C168">
        <f t="shared" si="18"/>
        <v>11.506291310349845</v>
      </c>
      <c r="AC168" s="38" t="s">
        <v>617</v>
      </c>
      <c r="AD168">
        <f t="shared" si="19"/>
        <v>11.424404658454058</v>
      </c>
    </row>
    <row r="169" spans="2:30" x14ac:dyDescent="0.3">
      <c r="B169" s="38" t="s">
        <v>218</v>
      </c>
      <c r="C169">
        <f t="shared" si="18"/>
        <v>11.283893638890147</v>
      </c>
      <c r="AC169" s="38" t="s">
        <v>618</v>
      </c>
      <c r="AD169">
        <f t="shared" si="19"/>
        <v>11.1893233511645</v>
      </c>
    </row>
    <row r="170" spans="2:30" x14ac:dyDescent="0.3">
      <c r="B170" s="38" t="s">
        <v>219</v>
      </c>
      <c r="C170">
        <f t="shared" si="18"/>
        <v>11.002690740102897</v>
      </c>
      <c r="AC170" s="38" t="s">
        <v>619</v>
      </c>
      <c r="AD170">
        <f t="shared" si="19"/>
        <v>10.89214591022122</v>
      </c>
    </row>
    <row r="171" spans="2:30" x14ac:dyDescent="0.3">
      <c r="B171" s="38" t="s">
        <v>220</v>
      </c>
      <c r="C171">
        <f t="shared" si="18"/>
        <v>10.65834418962524</v>
      </c>
      <c r="AC171" s="38" t="s">
        <v>620</v>
      </c>
      <c r="AD171">
        <f t="shared" si="19"/>
        <v>10.529098656527125</v>
      </c>
    </row>
    <row r="172" spans="2:30" x14ac:dyDescent="0.3">
      <c r="B172" s="38" t="s">
        <v>221</v>
      </c>
      <c r="C172">
        <f t="shared" si="18"/>
        <v>10.241466474721269</v>
      </c>
      <c r="AC172" s="38" t="s">
        <v>621</v>
      </c>
      <c r="AD172">
        <f t="shared" si="19"/>
        <v>10.09093324285438</v>
      </c>
    </row>
    <row r="173" spans="2:30" x14ac:dyDescent="0.3">
      <c r="B173" s="38" t="s">
        <v>222</v>
      </c>
      <c r="C173">
        <f t="shared" si="18"/>
        <v>9.7446381362676586</v>
      </c>
      <c r="AC173" s="38" t="s">
        <v>622</v>
      </c>
      <c r="AD173">
        <f t="shared" si="19"/>
        <v>9.5708419548475838</v>
      </c>
    </row>
    <row r="174" spans="2:30" x14ac:dyDescent="0.3">
      <c r="B174" s="38" t="s">
        <v>223</v>
      </c>
      <c r="C174">
        <f t="shared" si="18"/>
        <v>9.165584117965853</v>
      </c>
      <c r="AC174" s="38" t="s">
        <v>623</v>
      </c>
      <c r="AD174">
        <f t="shared" si="19"/>
        <v>8.9680045426296644</v>
      </c>
    </row>
    <row r="175" spans="2:30" x14ac:dyDescent="0.3">
      <c r="B175" s="38" t="s">
        <v>224</v>
      </c>
      <c r="C175">
        <f t="shared" si="18"/>
        <v>8.495316646076196</v>
      </c>
      <c r="AC175" s="38" t="s">
        <v>624</v>
      </c>
      <c r="AD175">
        <f t="shared" si="19"/>
        <v>8.2742342429909126</v>
      </c>
    </row>
    <row r="176" spans="2:30" x14ac:dyDescent="0.3">
      <c r="B176" s="38" t="s">
        <v>225</v>
      </c>
      <c r="C176">
        <f t="shared" si="18"/>
        <v>7.7332985561626071</v>
      </c>
      <c r="AC176" s="38" t="s">
        <v>625</v>
      </c>
      <c r="AD176">
        <f t="shared" si="19"/>
        <v>7.4907824913750156</v>
      </c>
    </row>
    <row r="177" spans="2:30" x14ac:dyDescent="0.3">
      <c r="B177" s="38" t="s">
        <v>226</v>
      </c>
      <c r="C177">
        <f t="shared" si="18"/>
        <v>6.8931335447771911</v>
      </c>
      <c r="AC177" s="38" t="s">
        <v>626</v>
      </c>
      <c r="AD177">
        <f t="shared" si="19"/>
        <v>6.634363194155724</v>
      </c>
    </row>
    <row r="178" spans="2:30" x14ac:dyDescent="0.3">
      <c r="B178" s="38" t="s">
        <v>227</v>
      </c>
      <c r="C178">
        <f t="shared" si="18"/>
        <v>5.9826968974702153</v>
      </c>
      <c r="AC178" s="38" t="s">
        <v>627</v>
      </c>
      <c r="AD178">
        <f t="shared" si="19"/>
        <v>5.7148381295722688</v>
      </c>
    </row>
    <row r="179" spans="2:30" x14ac:dyDescent="0.3">
      <c r="B179" s="38" t="s">
        <v>228</v>
      </c>
      <c r="C179">
        <f t="shared" si="18"/>
        <v>4.6260134864599722</v>
      </c>
      <c r="AC179" s="38" t="s">
        <v>628</v>
      </c>
      <c r="AD179">
        <f t="shared" si="19"/>
        <v>4.3610939350043241</v>
      </c>
    </row>
    <row r="180" spans="2:30" x14ac:dyDescent="0.3">
      <c r="B180" s="38" t="s">
        <v>229</v>
      </c>
      <c r="C180">
        <f t="shared" ref="C180:C195" si="20">N4*(1+disc)^-11</f>
        <v>11.548692256389565</v>
      </c>
      <c r="AC180" s="38" t="s">
        <v>629</v>
      </c>
      <c r="AD180">
        <f t="shared" ref="AD180:AD195" si="21">AO4*(1+disc)^-11</f>
        <v>11.512460975527098</v>
      </c>
    </row>
    <row r="181" spans="2:30" x14ac:dyDescent="0.3">
      <c r="B181" s="38" t="s">
        <v>230</v>
      </c>
      <c r="C181">
        <f t="shared" si="20"/>
        <v>11.445548616536547</v>
      </c>
      <c r="AC181" s="38" t="s">
        <v>630</v>
      </c>
      <c r="AD181">
        <f t="shared" si="21"/>
        <v>11.401711511313511</v>
      </c>
    </row>
    <row r="182" spans="2:30" x14ac:dyDescent="0.3">
      <c r="B182" s="38" t="s">
        <v>231</v>
      </c>
      <c r="C182">
        <f t="shared" si="20"/>
        <v>11.30710331256741</v>
      </c>
      <c r="AC182" s="38" t="s">
        <v>631</v>
      </c>
      <c r="AD182">
        <f t="shared" si="21"/>
        <v>11.252620560216425</v>
      </c>
    </row>
    <row r="183" spans="2:30" x14ac:dyDescent="0.3">
      <c r="B183" s="38" t="s">
        <v>232</v>
      </c>
      <c r="C183">
        <f t="shared" si="20"/>
        <v>11.14479704414145</v>
      </c>
      <c r="AC183" s="38" t="s">
        <v>632</v>
      </c>
      <c r="AD183">
        <f t="shared" si="21"/>
        <v>11.078636778390253</v>
      </c>
    </row>
    <row r="184" spans="2:30" x14ac:dyDescent="0.3">
      <c r="B184" s="38" t="s">
        <v>233</v>
      </c>
      <c r="C184">
        <f t="shared" si="20"/>
        <v>10.967658735270158</v>
      </c>
      <c r="AC184" s="38" t="s">
        <v>633</v>
      </c>
      <c r="AD184">
        <f t="shared" si="21"/>
        <v>10.890547118602866</v>
      </c>
    </row>
    <row r="185" spans="2:30" x14ac:dyDescent="0.3">
      <c r="B185" s="38" t="s">
        <v>234</v>
      </c>
      <c r="C185">
        <f t="shared" si="20"/>
        <v>10.756874446751302</v>
      </c>
      <c r="AC185" s="38" t="s">
        <v>634</v>
      </c>
      <c r="AD185">
        <f t="shared" si="21"/>
        <v>10.667729539105965</v>
      </c>
    </row>
    <row r="186" spans="2:30" x14ac:dyDescent="0.3">
      <c r="B186" s="38" t="s">
        <v>235</v>
      </c>
      <c r="C186">
        <f t="shared" si="20"/>
        <v>10.49044618030922</v>
      </c>
      <c r="AC186" s="38" t="s">
        <v>635</v>
      </c>
      <c r="AD186">
        <f t="shared" si="21"/>
        <v>10.386160515858975</v>
      </c>
    </row>
    <row r="187" spans="2:30" x14ac:dyDescent="0.3">
      <c r="B187" s="38" t="s">
        <v>236</v>
      </c>
      <c r="C187">
        <f t="shared" si="20"/>
        <v>10.164104275374417</v>
      </c>
      <c r="AC187" s="38" t="s">
        <v>636</v>
      </c>
      <c r="AD187">
        <f t="shared" si="21"/>
        <v>10.042087431993085</v>
      </c>
    </row>
    <row r="188" spans="2:30" x14ac:dyDescent="0.3">
      <c r="B188" s="38" t="s">
        <v>237</v>
      </c>
      <c r="C188">
        <f t="shared" si="20"/>
        <v>9.7688676484304828</v>
      </c>
      <c r="AC188" s="38" t="s">
        <v>637</v>
      </c>
      <c r="AD188">
        <f t="shared" si="21"/>
        <v>9.6266540132665934</v>
      </c>
    </row>
    <row r="189" spans="2:30" x14ac:dyDescent="0.3">
      <c r="B189" s="38" t="s">
        <v>238</v>
      </c>
      <c r="C189">
        <f t="shared" si="20"/>
        <v>9.2975812656606127</v>
      </c>
      <c r="AC189" s="38" t="s">
        <v>638</v>
      </c>
      <c r="AD189">
        <f t="shared" si="21"/>
        <v>9.1332766023803504</v>
      </c>
    </row>
    <row r="190" spans="2:30" x14ac:dyDescent="0.3">
      <c r="B190" s="38" t="s">
        <v>239</v>
      </c>
      <c r="C190">
        <f t="shared" si="20"/>
        <v>8.7478466290258616</v>
      </c>
      <c r="AC190" s="38" t="s">
        <v>639</v>
      </c>
      <c r="AD190">
        <f t="shared" si="21"/>
        <v>8.5609180085762286</v>
      </c>
    </row>
    <row r="191" spans="2:30" x14ac:dyDescent="0.3">
      <c r="B191" s="38" t="s">
        <v>240</v>
      </c>
      <c r="C191">
        <f t="shared" si="20"/>
        <v>8.110945320541104</v>
      </c>
      <c r="AC191" s="38" t="s">
        <v>640</v>
      </c>
      <c r="AD191">
        <f t="shared" si="21"/>
        <v>7.9016123837303978</v>
      </c>
    </row>
    <row r="192" spans="2:30" x14ac:dyDescent="0.3">
      <c r="B192" s="38" t="s">
        <v>241</v>
      </c>
      <c r="C192">
        <f t="shared" si="20"/>
        <v>7.3860456572153117</v>
      </c>
      <c r="AC192" s="38" t="s">
        <v>641</v>
      </c>
      <c r="AD192">
        <f t="shared" si="21"/>
        <v>7.1562141990395807</v>
      </c>
    </row>
    <row r="193" spans="2:30" x14ac:dyDescent="0.3">
      <c r="B193" s="38" t="s">
        <v>242</v>
      </c>
      <c r="C193">
        <f t="shared" si="20"/>
        <v>6.5855965517409851</v>
      </c>
      <c r="AC193" s="38" t="s">
        <v>642</v>
      </c>
      <c r="AD193">
        <f t="shared" si="21"/>
        <v>6.3401111084343729</v>
      </c>
    </row>
    <row r="194" spans="2:30" x14ac:dyDescent="0.3">
      <c r="B194" s="38" t="s">
        <v>243</v>
      </c>
      <c r="C194">
        <f t="shared" si="20"/>
        <v>5.7170274193881285</v>
      </c>
      <c r="AC194" s="38" t="s">
        <v>643</v>
      </c>
      <c r="AD194">
        <f t="shared" si="21"/>
        <v>5.4626540147090648</v>
      </c>
    </row>
    <row r="195" spans="2:30" x14ac:dyDescent="0.3">
      <c r="B195" s="38" t="s">
        <v>244</v>
      </c>
      <c r="C195">
        <f t="shared" si="20"/>
        <v>4.4208301074173519</v>
      </c>
      <c r="AC195" s="38" t="s">
        <v>644</v>
      </c>
      <c r="AD195">
        <f t="shared" si="21"/>
        <v>4.1689194069234627</v>
      </c>
    </row>
    <row r="196" spans="2:30" x14ac:dyDescent="0.3">
      <c r="B196" s="38" t="s">
        <v>245</v>
      </c>
      <c r="C196">
        <f t="shared" ref="C196:C211" si="22">O4*(1+disc)^-12</f>
        <v>11.003315586327505</v>
      </c>
      <c r="AC196" s="38" t="s">
        <v>645</v>
      </c>
      <c r="AD196">
        <f t="shared" ref="AD196:AD211" si="23">AP4*(1+disc)^-12</f>
        <v>10.969285325740183</v>
      </c>
    </row>
    <row r="197" spans="2:30" x14ac:dyDescent="0.3">
      <c r="B197" s="38" t="s">
        <v>246</v>
      </c>
      <c r="C197">
        <f t="shared" si="22"/>
        <v>10.905930139487753</v>
      </c>
      <c r="AC197" s="38" t="s">
        <v>646</v>
      </c>
      <c r="AD197">
        <f t="shared" si="23"/>
        <v>10.864732223240123</v>
      </c>
    </row>
    <row r="198" spans="2:30" x14ac:dyDescent="0.3">
      <c r="B198" s="38" t="s">
        <v>247</v>
      </c>
      <c r="C198">
        <f t="shared" si="22"/>
        <v>10.775336777524522</v>
      </c>
      <c r="AC198" s="38" t="s">
        <v>647</v>
      </c>
      <c r="AD198">
        <f t="shared" si="23"/>
        <v>10.72412154829656</v>
      </c>
    </row>
    <row r="199" spans="2:30" x14ac:dyDescent="0.3">
      <c r="B199" s="38" t="s">
        <v>248</v>
      </c>
      <c r="C199">
        <f t="shared" si="22"/>
        <v>10.62202142238438</v>
      </c>
      <c r="AC199" s="38" t="s">
        <v>648</v>
      </c>
      <c r="AD199">
        <f t="shared" si="23"/>
        <v>10.559795138435792</v>
      </c>
    </row>
    <row r="200" spans="2:30" x14ac:dyDescent="0.3">
      <c r="B200" s="38" t="s">
        <v>249</v>
      </c>
      <c r="C200">
        <f t="shared" si="22"/>
        <v>10.454267952432893</v>
      </c>
      <c r="AC200" s="38" t="s">
        <v>649</v>
      </c>
      <c r="AD200">
        <f t="shared" si="23"/>
        <v>10.381668454415264</v>
      </c>
    </row>
    <row r="201" spans="2:30" x14ac:dyDescent="0.3">
      <c r="B201" s="38" t="s">
        <v>250</v>
      </c>
      <c r="C201">
        <f t="shared" si="22"/>
        <v>10.254502474018734</v>
      </c>
      <c r="AC201" s="38" t="s">
        <v>650</v>
      </c>
      <c r="AD201">
        <f t="shared" si="23"/>
        <v>10.170487979076503</v>
      </c>
    </row>
    <row r="202" spans="2:30" x14ac:dyDescent="0.3">
      <c r="B202" s="38" t="s">
        <v>251</v>
      </c>
      <c r="C202">
        <f t="shared" si="22"/>
        <v>10.002088294112385</v>
      </c>
      <c r="AC202" s="38" t="s">
        <v>651</v>
      </c>
      <c r="AD202">
        <f t="shared" si="23"/>
        <v>9.9037250460328163</v>
      </c>
    </row>
    <row r="203" spans="2:30" x14ac:dyDescent="0.3">
      <c r="B203" s="38" t="s">
        <v>252</v>
      </c>
      <c r="C203">
        <f t="shared" si="22"/>
        <v>9.6928277192540175</v>
      </c>
      <c r="AC203" s="38" t="s">
        <v>652</v>
      </c>
      <c r="AD203">
        <f t="shared" si="23"/>
        <v>9.5776545193357805</v>
      </c>
    </row>
    <row r="204" spans="2:30" x14ac:dyDescent="0.3">
      <c r="B204" s="38" t="s">
        <v>253</v>
      </c>
      <c r="C204">
        <f t="shared" si="22"/>
        <v>9.3181286564101526</v>
      </c>
      <c r="AC204" s="38" t="s">
        <v>653</v>
      </c>
      <c r="AD204">
        <f t="shared" si="23"/>
        <v>9.1837957839333022</v>
      </c>
    </row>
    <row r="205" spans="2:30" x14ac:dyDescent="0.3">
      <c r="B205" s="38" t="s">
        <v>254</v>
      </c>
      <c r="C205">
        <f t="shared" si="22"/>
        <v>8.8710917684746065</v>
      </c>
      <c r="AC205" s="38" t="s">
        <v>654</v>
      </c>
      <c r="AD205">
        <f t="shared" si="23"/>
        <v>8.7157828751462088</v>
      </c>
    </row>
    <row r="206" spans="2:30" x14ac:dyDescent="0.3">
      <c r="B206" s="38" t="s">
        <v>255</v>
      </c>
      <c r="C206">
        <f t="shared" si="22"/>
        <v>8.3492108915322909</v>
      </c>
      <c r="AC206" s="38" t="s">
        <v>655</v>
      </c>
      <c r="AD206">
        <f t="shared" si="23"/>
        <v>8.1723828116421622</v>
      </c>
    </row>
    <row r="207" spans="2:30" x14ac:dyDescent="0.3">
      <c r="B207" s="38" t="s">
        <v>256</v>
      </c>
      <c r="C207">
        <f t="shared" si="22"/>
        <v>7.7440302307016298</v>
      </c>
      <c r="AC207" s="38" t="s">
        <v>656</v>
      </c>
      <c r="AD207">
        <f t="shared" si="23"/>
        <v>7.5458464714807416</v>
      </c>
    </row>
    <row r="208" spans="2:30" x14ac:dyDescent="0.3">
      <c r="B208" s="38" t="s">
        <v>257</v>
      </c>
      <c r="C208">
        <f t="shared" si="22"/>
        <v>7.0544499541558574</v>
      </c>
      <c r="AC208" s="38" t="s">
        <v>657</v>
      </c>
      <c r="AD208">
        <f t="shared" si="23"/>
        <v>6.8366629656385385</v>
      </c>
    </row>
    <row r="209" spans="2:30" x14ac:dyDescent="0.3">
      <c r="B209" s="38" t="s">
        <v>258</v>
      </c>
      <c r="C209">
        <f t="shared" si="22"/>
        <v>6.2918390961431356</v>
      </c>
      <c r="AC209" s="38" t="s">
        <v>658</v>
      </c>
      <c r="AD209">
        <f t="shared" si="23"/>
        <v>6.0589772867554856</v>
      </c>
    </row>
    <row r="210" spans="2:30" x14ac:dyDescent="0.3">
      <c r="B210" s="38" t="s">
        <v>259</v>
      </c>
      <c r="C210">
        <f t="shared" si="22"/>
        <v>5.4632041422043507</v>
      </c>
      <c r="AC210" s="38" t="s">
        <v>659</v>
      </c>
      <c r="AD210">
        <f t="shared" si="23"/>
        <v>5.2216541128275171</v>
      </c>
    </row>
    <row r="211" spans="2:30" x14ac:dyDescent="0.3">
      <c r="B211" s="38" t="s">
        <v>260</v>
      </c>
      <c r="C211">
        <f t="shared" si="22"/>
        <v>4.2247760710158611</v>
      </c>
      <c r="AC211" s="38" t="s">
        <v>660</v>
      </c>
      <c r="AD211">
        <f t="shared" si="23"/>
        <v>3.9852458632103387</v>
      </c>
    </row>
    <row r="212" spans="2:30" x14ac:dyDescent="0.3">
      <c r="B212" s="38" t="s">
        <v>261</v>
      </c>
      <c r="C212">
        <f t="shared" ref="C212:C227" si="24">P4*(1+disc)^-13</f>
        <v>10.483706073091039</v>
      </c>
      <c r="AC212" s="38" t="s">
        <v>661</v>
      </c>
      <c r="AD212">
        <f t="shared" ref="AD212:AD227" si="25">AQ4*(1+disc)^-13</f>
        <v>10.451751962294935</v>
      </c>
    </row>
    <row r="213" spans="2:30" x14ac:dyDescent="0.3">
      <c r="B213" s="38" t="s">
        <v>262</v>
      </c>
      <c r="C213">
        <f t="shared" si="24"/>
        <v>10.391767854531924</v>
      </c>
      <c r="AC213" s="38" t="s">
        <v>662</v>
      </c>
      <c r="AD213">
        <f t="shared" si="25"/>
        <v>10.353060407348492</v>
      </c>
    </row>
    <row r="214" spans="2:30" x14ac:dyDescent="0.3">
      <c r="B214" s="38" t="s">
        <v>263</v>
      </c>
      <c r="C214">
        <f t="shared" si="24"/>
        <v>10.268597185833992</v>
      </c>
      <c r="AC214" s="38" t="s">
        <v>663</v>
      </c>
      <c r="AD214">
        <f t="shared" si="25"/>
        <v>10.220465891087319</v>
      </c>
    </row>
    <row r="215" spans="2:30" x14ac:dyDescent="0.3">
      <c r="B215" s="38" t="s">
        <v>264</v>
      </c>
      <c r="C215">
        <f t="shared" si="24"/>
        <v>10.123789902322931</v>
      </c>
      <c r="AC215" s="38" t="s">
        <v>664</v>
      </c>
      <c r="AD215">
        <f t="shared" si="25"/>
        <v>10.065277958356557</v>
      </c>
    </row>
    <row r="216" spans="2:30" x14ac:dyDescent="0.3">
      <c r="B216" s="38" t="s">
        <v>265</v>
      </c>
      <c r="C216">
        <f t="shared" si="24"/>
        <v>9.9649349843859962</v>
      </c>
      <c r="AC216" s="38" t="s">
        <v>665</v>
      </c>
      <c r="AD216">
        <f t="shared" si="25"/>
        <v>9.8965986832080084</v>
      </c>
    </row>
    <row r="217" spans="2:30" x14ac:dyDescent="0.3">
      <c r="B217" s="38" t="s">
        <v>266</v>
      </c>
      <c r="C217">
        <f t="shared" si="24"/>
        <v>9.7756237549708782</v>
      </c>
      <c r="AC217" s="38" t="s">
        <v>666</v>
      </c>
      <c r="AD217">
        <f t="shared" si="25"/>
        <v>9.6964602408083973</v>
      </c>
    </row>
    <row r="218" spans="2:30" x14ac:dyDescent="0.3">
      <c r="B218" s="38" t="s">
        <v>267</v>
      </c>
      <c r="C218">
        <f t="shared" si="24"/>
        <v>9.5365016969350105</v>
      </c>
      <c r="AC218" s="38" t="s">
        <v>667</v>
      </c>
      <c r="AD218">
        <f t="shared" si="25"/>
        <v>9.4437416937331538</v>
      </c>
    </row>
    <row r="219" spans="2:30" x14ac:dyDescent="0.3">
      <c r="B219" s="38" t="s">
        <v>268</v>
      </c>
      <c r="C219">
        <f t="shared" si="24"/>
        <v>9.2434458303572526</v>
      </c>
      <c r="AC219" s="38" t="s">
        <v>668</v>
      </c>
      <c r="AD219">
        <f t="shared" si="25"/>
        <v>9.1347511527938536</v>
      </c>
    </row>
    <row r="220" spans="2:30" x14ac:dyDescent="0.3">
      <c r="B220" s="38" t="s">
        <v>269</v>
      </c>
      <c r="C220">
        <f t="shared" si="24"/>
        <v>8.8882363539573515</v>
      </c>
      <c r="AC220" s="38" t="s">
        <v>669</v>
      </c>
      <c r="AD220">
        <f t="shared" si="25"/>
        <v>8.7613679243956195</v>
      </c>
    </row>
    <row r="221" spans="2:30" x14ac:dyDescent="0.3">
      <c r="B221" s="38" t="s">
        <v>270</v>
      </c>
      <c r="C221">
        <f t="shared" si="24"/>
        <v>8.4642211447168911</v>
      </c>
      <c r="AC221" s="38" t="s">
        <v>670</v>
      </c>
      <c r="AD221">
        <f t="shared" si="25"/>
        <v>8.3174374877408859</v>
      </c>
    </row>
    <row r="222" spans="2:30" x14ac:dyDescent="0.3">
      <c r="B222" s="38" t="s">
        <v>271</v>
      </c>
      <c r="C222">
        <f t="shared" si="24"/>
        <v>7.9688009697855584</v>
      </c>
      <c r="AC222" s="38" t="s">
        <v>671</v>
      </c>
      <c r="AD222">
        <f t="shared" si="25"/>
        <v>7.8015507503007075</v>
      </c>
    </row>
    <row r="223" spans="2:30" x14ac:dyDescent="0.3">
      <c r="B223" s="38" t="s">
        <v>272</v>
      </c>
      <c r="C223">
        <f t="shared" si="24"/>
        <v>7.3937760093261362</v>
      </c>
      <c r="AC223" s="38" t="s">
        <v>672</v>
      </c>
      <c r="AD223">
        <f t="shared" si="25"/>
        <v>7.2061710873376352</v>
      </c>
    </row>
    <row r="224" spans="2:30" x14ac:dyDescent="0.3">
      <c r="B224" s="38" t="s">
        <v>273</v>
      </c>
      <c r="C224">
        <f t="shared" si="24"/>
        <v>6.7378029175776444</v>
      </c>
      <c r="AC224" s="38" t="s">
        <v>673</v>
      </c>
      <c r="AD224">
        <f t="shared" si="25"/>
        <v>6.5314518669295989</v>
      </c>
    </row>
    <row r="225" spans="2:30" x14ac:dyDescent="0.3">
      <c r="B225" s="38" t="s">
        <v>274</v>
      </c>
      <c r="C225">
        <f t="shared" si="24"/>
        <v>6.0112414003070338</v>
      </c>
      <c r="AC225" s="38" t="s">
        <v>674</v>
      </c>
      <c r="AD225">
        <f t="shared" si="25"/>
        <v>5.7903742354411181</v>
      </c>
    </row>
    <row r="226" spans="2:30" x14ac:dyDescent="0.3">
      <c r="B226" s="38" t="s">
        <v>275</v>
      </c>
      <c r="C226">
        <f t="shared" si="24"/>
        <v>5.2206968446669011</v>
      </c>
      <c r="AC226" s="38" t="s">
        <v>675</v>
      </c>
      <c r="AD226">
        <f t="shared" si="25"/>
        <v>4.9913401691014752</v>
      </c>
    </row>
    <row r="227" spans="2:30" x14ac:dyDescent="0.3">
      <c r="B227" s="38" t="s">
        <v>276</v>
      </c>
      <c r="C227">
        <f t="shared" si="24"/>
        <v>4.0374439719082957</v>
      </c>
      <c r="AC227" s="38" t="s">
        <v>676</v>
      </c>
      <c r="AD227">
        <f t="shared" si="25"/>
        <v>3.8096958988156659</v>
      </c>
    </row>
    <row r="228" spans="2:30" x14ac:dyDescent="0.3">
      <c r="B228" s="38" t="s">
        <v>277</v>
      </c>
      <c r="C228">
        <f t="shared" ref="C228:C243" si="26">Q4*(1+disc)^-14</f>
        <v>9.988387739968049</v>
      </c>
      <c r="AC228" s="38" t="s">
        <v>677</v>
      </c>
      <c r="AD228">
        <f t="shared" ref="AD228:AD243" si="27">AR4*(1+disc)^-14</f>
        <v>9.9583609764349816</v>
      </c>
    </row>
    <row r="229" spans="2:30" x14ac:dyDescent="0.3">
      <c r="B229" s="38" t="s">
        <v>278</v>
      </c>
      <c r="C229">
        <f t="shared" si="26"/>
        <v>9.9015841475862043</v>
      </c>
      <c r="AC229" s="38" t="s">
        <v>678</v>
      </c>
      <c r="AD229">
        <f t="shared" si="27"/>
        <v>9.8651944907902536</v>
      </c>
    </row>
    <row r="230" spans="2:30" x14ac:dyDescent="0.3">
      <c r="B230" s="38" t="s">
        <v>279</v>
      </c>
      <c r="C230">
        <f t="shared" si="26"/>
        <v>9.7853778656807329</v>
      </c>
      <c r="AC230" s="38" t="s">
        <v>679</v>
      </c>
      <c r="AD230">
        <f t="shared" si="27"/>
        <v>9.7401192339494944</v>
      </c>
    </row>
    <row r="231" spans="2:30" x14ac:dyDescent="0.3">
      <c r="B231" s="38" t="s">
        <v>280</v>
      </c>
      <c r="C231">
        <f t="shared" si="26"/>
        <v>9.6485838667273693</v>
      </c>
      <c r="AC231" s="38" t="s">
        <v>680</v>
      </c>
      <c r="AD231">
        <f t="shared" si="27"/>
        <v>9.5935374802784956</v>
      </c>
    </row>
    <row r="232" spans="2:30" x14ac:dyDescent="0.3">
      <c r="B232" s="38" t="s">
        <v>281</v>
      </c>
      <c r="C232">
        <f t="shared" si="26"/>
        <v>9.4981619366246903</v>
      </c>
      <c r="AC232" s="38" t="s">
        <v>681</v>
      </c>
      <c r="AD232">
        <f t="shared" si="27"/>
        <v>9.4338135598906003</v>
      </c>
    </row>
    <row r="233" spans="2:30" x14ac:dyDescent="0.3">
      <c r="B233" s="38" t="s">
        <v>282</v>
      </c>
      <c r="C233">
        <f t="shared" si="26"/>
        <v>9.3187566555850605</v>
      </c>
      <c r="AC233" s="38" t="s">
        <v>682</v>
      </c>
      <c r="AD233">
        <f t="shared" si="27"/>
        <v>9.2441404210132188</v>
      </c>
    </row>
    <row r="234" spans="2:30" x14ac:dyDescent="0.3">
      <c r="B234" s="38" t="s">
        <v>283</v>
      </c>
      <c r="C234">
        <f t="shared" si="26"/>
        <v>9.092204650793585</v>
      </c>
      <c r="AC234" s="38" t="s">
        <v>683</v>
      </c>
      <c r="AD234">
        <f t="shared" si="27"/>
        <v>9.0047042469182053</v>
      </c>
    </row>
    <row r="235" spans="2:30" x14ac:dyDescent="0.3">
      <c r="B235" s="38" t="s">
        <v>284</v>
      </c>
      <c r="C235">
        <f t="shared" si="26"/>
        <v>8.8144742210202605</v>
      </c>
      <c r="AC235" s="38" t="s">
        <v>684</v>
      </c>
      <c r="AD235">
        <f t="shared" si="27"/>
        <v>8.711867703885801</v>
      </c>
    </row>
    <row r="236" spans="2:30" x14ac:dyDescent="0.3">
      <c r="B236" s="38" t="s">
        <v>285</v>
      </c>
      <c r="C236">
        <f t="shared" si="26"/>
        <v>8.4776994193190713</v>
      </c>
      <c r="AC236" s="38" t="s">
        <v>685</v>
      </c>
      <c r="AD236">
        <f t="shared" si="27"/>
        <v>8.3578521863737656</v>
      </c>
    </row>
    <row r="237" spans="2:30" x14ac:dyDescent="0.3">
      <c r="B237" s="38" t="s">
        <v>286</v>
      </c>
      <c r="C237">
        <f t="shared" si="26"/>
        <v>8.0754701746683626</v>
      </c>
      <c r="AC237" s="38" t="s">
        <v>686</v>
      </c>
      <c r="AD237">
        <f t="shared" si="27"/>
        <v>7.9367118458332602</v>
      </c>
    </row>
    <row r="238" spans="2:30" x14ac:dyDescent="0.3">
      <c r="B238" s="38" t="s">
        <v>287</v>
      </c>
      <c r="C238">
        <f t="shared" si="26"/>
        <v>7.6051286045869597</v>
      </c>
      <c r="AC238" s="38" t="s">
        <v>687</v>
      </c>
      <c r="AD238">
        <f t="shared" si="27"/>
        <v>7.4469029175204522</v>
      </c>
    </row>
    <row r="239" spans="2:30" x14ac:dyDescent="0.3">
      <c r="B239" s="38" t="s">
        <v>288</v>
      </c>
      <c r="C239">
        <f t="shared" si="26"/>
        <v>7.0587368103393464</v>
      </c>
      <c r="AC239" s="38" t="s">
        <v>688</v>
      </c>
      <c r="AD239">
        <f t="shared" si="27"/>
        <v>6.8811104086585306</v>
      </c>
    </row>
    <row r="240" spans="2:30" x14ac:dyDescent="0.3">
      <c r="B240" s="38" t="s">
        <v>289</v>
      </c>
      <c r="C240">
        <f t="shared" si="26"/>
        <v>6.4347410694932288</v>
      </c>
      <c r="AC240" s="38" t="s">
        <v>689</v>
      </c>
      <c r="AD240">
        <f t="shared" si="27"/>
        <v>6.2391898371775616</v>
      </c>
    </row>
    <row r="241" spans="2:30" x14ac:dyDescent="0.3">
      <c r="B241" s="38" t="s">
        <v>290</v>
      </c>
      <c r="C241">
        <f t="shared" si="26"/>
        <v>5.7426044958835725</v>
      </c>
      <c r="AC241" s="38" t="s">
        <v>690</v>
      </c>
      <c r="AD241">
        <f t="shared" si="27"/>
        <v>5.5330823661478377</v>
      </c>
    </row>
    <row r="242" spans="2:30" x14ac:dyDescent="0.3">
      <c r="B242" s="38" t="s">
        <v>291</v>
      </c>
      <c r="C242">
        <f t="shared" si="26"/>
        <v>4.9885675895551307</v>
      </c>
      <c r="AC242" s="38" t="s">
        <v>691</v>
      </c>
      <c r="AD242">
        <f t="shared" si="27"/>
        <v>4.7707651403225118</v>
      </c>
    </row>
    <row r="243" spans="2:30" x14ac:dyDescent="0.3">
      <c r="B243" s="38" t="s">
        <v>292</v>
      </c>
      <c r="C243">
        <f t="shared" si="26"/>
        <v>3.8583580931418875</v>
      </c>
      <c r="AC243" s="38" t="s">
        <v>692</v>
      </c>
      <c r="AD243">
        <f t="shared" si="27"/>
        <v>3.641800853988213</v>
      </c>
    </row>
    <row r="244" spans="2:30" x14ac:dyDescent="0.3">
      <c r="B244" s="38" t="s">
        <v>293</v>
      </c>
      <c r="C244">
        <f t="shared" ref="C244:C259" si="28">R4*(1+disc)^-15</f>
        <v>9.5164819016107458</v>
      </c>
      <c r="AC244" s="38" t="s">
        <v>693</v>
      </c>
      <c r="AD244">
        <f t="shared" ref="AD244:AD259" si="29">AS4*(1+disc)^-15</f>
        <v>9.4882735678875534</v>
      </c>
    </row>
    <row r="245" spans="2:30" x14ac:dyDescent="0.3">
      <c r="B245" s="38" t="s">
        <v>294</v>
      </c>
      <c r="C245">
        <f t="shared" si="28"/>
        <v>9.4345354456555768</v>
      </c>
      <c r="AC245" s="38" t="s">
        <v>694</v>
      </c>
      <c r="AD245">
        <f t="shared" si="29"/>
        <v>9.4003333327179952</v>
      </c>
    </row>
    <row r="246" spans="2:30" x14ac:dyDescent="0.3">
      <c r="B246" s="38" t="s">
        <v>295</v>
      </c>
      <c r="C246">
        <f t="shared" si="28"/>
        <v>9.324913521573496</v>
      </c>
      <c r="AC246" s="38" t="s">
        <v>695</v>
      </c>
      <c r="AD246">
        <f t="shared" si="29"/>
        <v>9.2823665382133509</v>
      </c>
    </row>
    <row r="247" spans="2:30" x14ac:dyDescent="0.3">
      <c r="B247" s="38" t="s">
        <v>296</v>
      </c>
      <c r="C247">
        <f t="shared" si="28"/>
        <v>9.1957026419142167</v>
      </c>
      <c r="AC247" s="38" t="s">
        <v>696</v>
      </c>
      <c r="AD247">
        <f t="shared" si="29"/>
        <v>9.1439286773575041</v>
      </c>
    </row>
    <row r="248" spans="2:30" x14ac:dyDescent="0.3">
      <c r="B248" s="38" t="s">
        <v>297</v>
      </c>
      <c r="C248">
        <f t="shared" si="28"/>
        <v>9.0532758487809115</v>
      </c>
      <c r="AC248" s="38" t="s">
        <v>697</v>
      </c>
      <c r="AD248">
        <f t="shared" si="29"/>
        <v>8.9926956145627699</v>
      </c>
    </row>
    <row r="249" spans="2:30" x14ac:dyDescent="0.3">
      <c r="B249" s="38" t="s">
        <v>298</v>
      </c>
      <c r="C249">
        <f t="shared" si="28"/>
        <v>8.8832683490267836</v>
      </c>
      <c r="AC249" s="38" t="s">
        <v>698</v>
      </c>
      <c r="AD249">
        <f t="shared" si="29"/>
        <v>8.8129518368242206</v>
      </c>
    </row>
    <row r="250" spans="2:30" x14ac:dyDescent="0.3">
      <c r="B250" s="38" t="s">
        <v>299</v>
      </c>
      <c r="C250">
        <f t="shared" si="28"/>
        <v>8.6686388939396561</v>
      </c>
      <c r="AC250" s="38" t="s">
        <v>699</v>
      </c>
      <c r="AD250">
        <f t="shared" si="29"/>
        <v>8.5861146936352135</v>
      </c>
    </row>
    <row r="251" spans="2:30" x14ac:dyDescent="0.3">
      <c r="B251" s="38" t="s">
        <v>300</v>
      </c>
      <c r="C251">
        <f t="shared" si="28"/>
        <v>8.4054476709955033</v>
      </c>
      <c r="AC251" s="38" t="s">
        <v>700</v>
      </c>
      <c r="AD251">
        <f t="shared" si="29"/>
        <v>8.3086045027798612</v>
      </c>
    </row>
    <row r="252" spans="2:30" x14ac:dyDescent="0.3">
      <c r="B252" s="38" t="s">
        <v>301</v>
      </c>
      <c r="C252">
        <f t="shared" si="28"/>
        <v>8.0861675094041683</v>
      </c>
      <c r="AC252" s="38" t="s">
        <v>701</v>
      </c>
      <c r="AD252">
        <f t="shared" si="29"/>
        <v>7.9729705404946749</v>
      </c>
    </row>
    <row r="253" spans="2:30" x14ac:dyDescent="0.3">
      <c r="B253" s="38" t="s">
        <v>302</v>
      </c>
      <c r="C253">
        <f t="shared" si="28"/>
        <v>7.704622130261308</v>
      </c>
      <c r="AC253" s="38" t="s">
        <v>702</v>
      </c>
      <c r="AD253">
        <f t="shared" si="29"/>
        <v>7.5734693449947548</v>
      </c>
    </row>
    <row r="254" spans="2:30" x14ac:dyDescent="0.3">
      <c r="B254" s="38" t="s">
        <v>303</v>
      </c>
      <c r="C254">
        <f t="shared" si="28"/>
        <v>7.2581056081737501</v>
      </c>
      <c r="AC254" s="38" t="s">
        <v>703</v>
      </c>
      <c r="AD254">
        <f t="shared" si="29"/>
        <v>7.108437447289246</v>
      </c>
    </row>
    <row r="255" spans="2:30" x14ac:dyDescent="0.3">
      <c r="B255" s="38" t="s">
        <v>304</v>
      </c>
      <c r="C255">
        <f t="shared" si="28"/>
        <v>6.7389344638851441</v>
      </c>
      <c r="AC255" s="38" t="s">
        <v>704</v>
      </c>
      <c r="AD255">
        <f t="shared" si="29"/>
        <v>6.5707761150293242</v>
      </c>
    </row>
    <row r="256" spans="2:30" x14ac:dyDescent="0.3">
      <c r="B256" s="38" t="s">
        <v>305</v>
      </c>
      <c r="C256">
        <f t="shared" si="28"/>
        <v>6.1453653295147532</v>
      </c>
      <c r="AC256" s="38" t="s">
        <v>705</v>
      </c>
      <c r="AD256">
        <f t="shared" si="29"/>
        <v>5.9600682997182277</v>
      </c>
    </row>
    <row r="257" spans="2:30" x14ac:dyDescent="0.3">
      <c r="B257" s="38" t="s">
        <v>306</v>
      </c>
      <c r="C257">
        <f t="shared" si="28"/>
        <v>5.4860233041564772</v>
      </c>
      <c r="AC257" s="38" t="s">
        <v>706</v>
      </c>
      <c r="AD257">
        <f t="shared" si="29"/>
        <v>5.2872810086823581</v>
      </c>
    </row>
    <row r="258" spans="2:30" x14ac:dyDescent="0.3">
      <c r="B258" s="38" t="s">
        <v>307</v>
      </c>
      <c r="C258">
        <f t="shared" si="28"/>
        <v>4.7668023496667891</v>
      </c>
      <c r="AC258" s="38" t="s">
        <v>707</v>
      </c>
      <c r="AD258">
        <f t="shared" si="29"/>
        <v>4.5599865517732976</v>
      </c>
    </row>
    <row r="259" spans="2:30" x14ac:dyDescent="0.3">
      <c r="B259" s="38" t="s">
        <v>308</v>
      </c>
      <c r="C259">
        <f t="shared" si="28"/>
        <v>3.687242003051181</v>
      </c>
      <c r="AC259" s="38" t="s">
        <v>708</v>
      </c>
      <c r="AD259">
        <f t="shared" si="29"/>
        <v>3.4813349338805613</v>
      </c>
    </row>
    <row r="260" spans="2:30" x14ac:dyDescent="0.3">
      <c r="B260" s="38" t="s">
        <v>309</v>
      </c>
      <c r="C260">
        <f t="shared" ref="C260:C275" si="30">S4*(1+disc)^-16</f>
        <v>9.0668814899795009</v>
      </c>
      <c r="AC260" s="38" t="s">
        <v>709</v>
      </c>
      <c r="AD260">
        <f t="shared" ref="AD260:AD275" si="31">AT4*(1+disc)^-16</f>
        <v>9.0403885926594008</v>
      </c>
    </row>
    <row r="261" spans="2:30" x14ac:dyDescent="0.3">
      <c r="B261" s="38" t="s">
        <v>310</v>
      </c>
      <c r="C261">
        <f t="shared" si="30"/>
        <v>8.989529343633075</v>
      </c>
      <c r="AC261" s="38" t="s">
        <v>710</v>
      </c>
      <c r="AD261">
        <f t="shared" si="31"/>
        <v>8.957391578833052</v>
      </c>
    </row>
    <row r="262" spans="2:30" x14ac:dyDescent="0.3">
      <c r="B262" s="38" t="s">
        <v>311</v>
      </c>
      <c r="C262">
        <f t="shared" si="30"/>
        <v>8.886131991657729</v>
      </c>
      <c r="AC262" s="38" t="s">
        <v>711</v>
      </c>
      <c r="AD262">
        <f t="shared" si="31"/>
        <v>8.8461443397296993</v>
      </c>
    </row>
    <row r="263" spans="2:30" x14ac:dyDescent="0.3">
      <c r="B263" s="38" t="s">
        <v>312</v>
      </c>
      <c r="C263">
        <f t="shared" si="30"/>
        <v>8.7640966789635275</v>
      </c>
      <c r="AC263" s="38" t="s">
        <v>712</v>
      </c>
      <c r="AD263">
        <f t="shared" si="31"/>
        <v>8.7154123849062621</v>
      </c>
    </row>
    <row r="264" spans="2:30" x14ac:dyDescent="0.3">
      <c r="B264" s="38" t="s">
        <v>313</v>
      </c>
      <c r="C264">
        <f t="shared" si="30"/>
        <v>8.62924955006193</v>
      </c>
      <c r="AC264" s="38" t="s">
        <v>713</v>
      </c>
      <c r="AD264">
        <f t="shared" si="31"/>
        <v>8.5722293861192504</v>
      </c>
    </row>
    <row r="265" spans="2:30" x14ac:dyDescent="0.3">
      <c r="B265" s="38" t="s">
        <v>314</v>
      </c>
      <c r="C265">
        <f t="shared" si="30"/>
        <v>8.4681573645317236</v>
      </c>
      <c r="AC265" s="38" t="s">
        <v>714</v>
      </c>
      <c r="AD265">
        <f t="shared" si="31"/>
        <v>8.4019060726760717</v>
      </c>
    </row>
    <row r="266" spans="2:30" x14ac:dyDescent="0.3">
      <c r="B266" s="38" t="s">
        <v>315</v>
      </c>
      <c r="C266">
        <f t="shared" si="30"/>
        <v>8.264835828002365</v>
      </c>
      <c r="AC266" s="38" t="s">
        <v>715</v>
      </c>
      <c r="AD266">
        <f t="shared" si="31"/>
        <v>8.1870192497010787</v>
      </c>
    </row>
    <row r="267" spans="2:30" x14ac:dyDescent="0.3">
      <c r="B267" s="38" t="s">
        <v>316</v>
      </c>
      <c r="C267">
        <f t="shared" si="30"/>
        <v>8.0154373640134082</v>
      </c>
      <c r="AC267" s="38" t="s">
        <v>716</v>
      </c>
      <c r="AD267">
        <f t="shared" si="31"/>
        <v>7.9240495679185923</v>
      </c>
    </row>
    <row r="268" spans="2:30" x14ac:dyDescent="0.3">
      <c r="B268" s="38" t="s">
        <v>317</v>
      </c>
      <c r="C268">
        <f t="shared" si="30"/>
        <v>7.7127591341687101</v>
      </c>
      <c r="AC268" s="38" t="s">
        <v>717</v>
      </c>
      <c r="AD268">
        <f t="shared" si="31"/>
        <v>7.6058605581442649</v>
      </c>
    </row>
    <row r="269" spans="2:30" x14ac:dyDescent="0.3">
      <c r="B269" s="38" t="s">
        <v>318</v>
      </c>
      <c r="C269">
        <f t="shared" si="30"/>
        <v>7.3508506409585097</v>
      </c>
      <c r="AC269" s="38" t="s">
        <v>718</v>
      </c>
      <c r="AD269">
        <f t="shared" si="31"/>
        <v>7.2269049994625147</v>
      </c>
    </row>
    <row r="270" spans="2:30" x14ac:dyDescent="0.3">
      <c r="B270" s="38" t="s">
        <v>319</v>
      </c>
      <c r="C270">
        <f t="shared" si="30"/>
        <v>6.9269676791903221</v>
      </c>
      <c r="AC270" s="38" t="s">
        <v>719</v>
      </c>
      <c r="AD270">
        <f t="shared" si="31"/>
        <v>6.7854136061970873</v>
      </c>
    </row>
    <row r="271" spans="2:30" x14ac:dyDescent="0.3">
      <c r="B271" s="38" t="s">
        <v>320</v>
      </c>
      <c r="C271">
        <f t="shared" si="30"/>
        <v>6.4336738508528706</v>
      </c>
      <c r="AC271" s="38" t="s">
        <v>720</v>
      </c>
      <c r="AD271">
        <f t="shared" si="31"/>
        <v>6.2744985930959816</v>
      </c>
    </row>
    <row r="272" spans="2:30" x14ac:dyDescent="0.3">
      <c r="B272" s="38" t="s">
        <v>321</v>
      </c>
      <c r="C272">
        <f t="shared" si="30"/>
        <v>5.8690554649874045</v>
      </c>
      <c r="AC272" s="38" t="s">
        <v>721</v>
      </c>
      <c r="AD272">
        <f t="shared" si="31"/>
        <v>5.693493996848443</v>
      </c>
    </row>
    <row r="273" spans="2:30" x14ac:dyDescent="0.3">
      <c r="B273" s="38" t="s">
        <v>322</v>
      </c>
      <c r="C273">
        <f t="shared" si="30"/>
        <v>5.2409547627980535</v>
      </c>
      <c r="AC273" s="38" t="s">
        <v>722</v>
      </c>
      <c r="AD273">
        <f t="shared" si="31"/>
        <v>5.0524547246547717</v>
      </c>
    </row>
    <row r="274" spans="2:30" x14ac:dyDescent="0.3">
      <c r="B274" s="38" t="s">
        <v>323</v>
      </c>
      <c r="C274">
        <f t="shared" si="30"/>
        <v>4.5549366506971651</v>
      </c>
      <c r="AC274" s="38" t="s">
        <v>723</v>
      </c>
      <c r="AD274">
        <f t="shared" si="31"/>
        <v>4.3585673583744535</v>
      </c>
    </row>
    <row r="275" spans="2:30" x14ac:dyDescent="0.3">
      <c r="B275" s="38" t="s">
        <v>324</v>
      </c>
      <c r="C275">
        <f t="shared" si="30"/>
        <v>3.5237399242774892</v>
      </c>
      <c r="AC275" s="38" t="s">
        <v>724</v>
      </c>
      <c r="AD275">
        <f t="shared" si="31"/>
        <v>3.3279681760799895</v>
      </c>
    </row>
    <row r="276" spans="2:30" x14ac:dyDescent="0.3">
      <c r="B276" s="38" t="s">
        <v>325</v>
      </c>
      <c r="C276">
        <f t="shared" ref="C276:C291" si="32">T4*(1+disc)^-17</f>
        <v>8.6385318019409052</v>
      </c>
      <c r="AC276" s="38" t="s">
        <v>725</v>
      </c>
      <c r="AD276">
        <f t="shared" ref="AD276:AD291" si="33">AU4*(1+disc)^-17</f>
        <v>8.6136569573696988</v>
      </c>
    </row>
    <row r="277" spans="2:30" x14ac:dyDescent="0.3">
      <c r="B277" s="38" t="s">
        <v>326</v>
      </c>
      <c r="C277">
        <f t="shared" si="32"/>
        <v>8.565525038985939</v>
      </c>
      <c r="AC277" s="38" t="s">
        <v>726</v>
      </c>
      <c r="AD277">
        <f t="shared" si="33"/>
        <v>8.5353351048723916</v>
      </c>
    </row>
    <row r="278" spans="2:30" x14ac:dyDescent="0.3">
      <c r="B278" s="38" t="s">
        <v>327</v>
      </c>
      <c r="C278">
        <f t="shared" si="32"/>
        <v>8.4680116568495372</v>
      </c>
      <c r="AC278" s="38" t="s">
        <v>727</v>
      </c>
      <c r="AD278">
        <f t="shared" si="33"/>
        <v>8.4304392584255439</v>
      </c>
    </row>
    <row r="279" spans="2:30" x14ac:dyDescent="0.3">
      <c r="B279" s="38" t="s">
        <v>328</v>
      </c>
      <c r="C279">
        <f t="shared" si="32"/>
        <v>8.3527658009614303</v>
      </c>
      <c r="AC279" s="38" t="s">
        <v>728</v>
      </c>
      <c r="AD279">
        <f t="shared" si="33"/>
        <v>8.3069982647749452</v>
      </c>
    </row>
    <row r="280" spans="2:30" x14ac:dyDescent="0.3">
      <c r="B280" s="38" t="s">
        <v>329</v>
      </c>
      <c r="C280">
        <f t="shared" si="32"/>
        <v>8.2251041112178367</v>
      </c>
      <c r="AC280" s="38" t="s">
        <v>729</v>
      </c>
      <c r="AD280">
        <f t="shared" si="33"/>
        <v>8.1714470446686818</v>
      </c>
    </row>
    <row r="281" spans="2:30" x14ac:dyDescent="0.3">
      <c r="B281" s="38" t="s">
        <v>330</v>
      </c>
      <c r="C281">
        <f t="shared" si="32"/>
        <v>8.0724691868414986</v>
      </c>
      <c r="AC281" s="38" t="s">
        <v>730</v>
      </c>
      <c r="AD281">
        <f t="shared" si="33"/>
        <v>8.0100609940735232</v>
      </c>
    </row>
    <row r="282" spans="2:30" x14ac:dyDescent="0.3">
      <c r="B282" s="38" t="s">
        <v>331</v>
      </c>
      <c r="C282">
        <f t="shared" si="32"/>
        <v>7.8798721592120176</v>
      </c>
      <c r="AC282" s="38" t="s">
        <v>731</v>
      </c>
      <c r="AD282">
        <f t="shared" si="33"/>
        <v>7.8065086761561577</v>
      </c>
    </row>
    <row r="283" spans="2:30" x14ac:dyDescent="0.3">
      <c r="B283" s="38" t="s">
        <v>332</v>
      </c>
      <c r="C283">
        <f t="shared" si="32"/>
        <v>7.6435577961381949</v>
      </c>
      <c r="AC283" s="38" t="s">
        <v>732</v>
      </c>
      <c r="AD283">
        <f t="shared" si="33"/>
        <v>7.5573333736853376</v>
      </c>
    </row>
    <row r="284" spans="2:30" x14ac:dyDescent="0.3">
      <c r="B284" s="38" t="s">
        <v>333</v>
      </c>
      <c r="C284">
        <f t="shared" si="32"/>
        <v>7.3566337560006376</v>
      </c>
      <c r="AC284" s="38" t="s">
        <v>733</v>
      </c>
      <c r="AD284">
        <f t="shared" si="33"/>
        <v>7.2556998009073901</v>
      </c>
    </row>
    <row r="285" spans="2:30" x14ac:dyDescent="0.3">
      <c r="B285" s="38" t="s">
        <v>334</v>
      </c>
      <c r="C285">
        <f t="shared" si="32"/>
        <v>7.0133675556622155</v>
      </c>
      <c r="AC285" s="38" t="s">
        <v>734</v>
      </c>
      <c r="AD285">
        <f t="shared" si="33"/>
        <v>6.8962509718664418</v>
      </c>
    </row>
    <row r="286" spans="2:30" x14ac:dyDescent="0.3">
      <c r="B286" s="38" t="s">
        <v>335</v>
      </c>
      <c r="C286">
        <f t="shared" si="32"/>
        <v>6.6109856846135502</v>
      </c>
      <c r="AC286" s="38" t="s">
        <v>735</v>
      </c>
      <c r="AD286">
        <f t="shared" si="33"/>
        <v>6.4771246587748319</v>
      </c>
    </row>
    <row r="287" spans="2:30" x14ac:dyDescent="0.3">
      <c r="B287" s="38" t="s">
        <v>336</v>
      </c>
      <c r="C287">
        <f t="shared" si="32"/>
        <v>6.1422916510735046</v>
      </c>
      <c r="AC287" s="38" t="s">
        <v>736</v>
      </c>
      <c r="AD287">
        <f t="shared" si="33"/>
        <v>5.9916387731657776</v>
      </c>
    </row>
    <row r="288" spans="2:30" x14ac:dyDescent="0.3">
      <c r="B288" s="38" t="s">
        <v>337</v>
      </c>
      <c r="C288">
        <f t="shared" si="32"/>
        <v>5.6052194383229814</v>
      </c>
      <c r="AC288" s="38" t="s">
        <v>737</v>
      </c>
      <c r="AD288">
        <f t="shared" si="33"/>
        <v>5.4389005507825674</v>
      </c>
    </row>
    <row r="289" spans="2:30" x14ac:dyDescent="0.3">
      <c r="B289" s="38" t="s">
        <v>338</v>
      </c>
      <c r="C289">
        <f t="shared" si="32"/>
        <v>5.0068803543515106</v>
      </c>
      <c r="AC289" s="38" t="s">
        <v>738</v>
      </c>
      <c r="AD289">
        <f t="shared" si="33"/>
        <v>4.8281112871934946</v>
      </c>
    </row>
    <row r="290" spans="2:30" x14ac:dyDescent="0.3">
      <c r="B290" s="38" t="s">
        <v>339</v>
      </c>
      <c r="C290">
        <f t="shared" si="32"/>
        <v>4.3525269055962355</v>
      </c>
      <c r="AC290" s="38" t="s">
        <v>739</v>
      </c>
      <c r="AD290">
        <f t="shared" si="33"/>
        <v>4.1660900911035856</v>
      </c>
    </row>
    <row r="291" spans="2:30" x14ac:dyDescent="0.3">
      <c r="B291" s="38" t="s">
        <v>340</v>
      </c>
      <c r="C291">
        <f t="shared" si="32"/>
        <v>3.3675120078656433</v>
      </c>
      <c r="AC291" s="38" t="s">
        <v>740</v>
      </c>
      <c r="AD291">
        <f t="shared" si="33"/>
        <v>3.1813853242695047</v>
      </c>
    </row>
    <row r="292" spans="2:30" x14ac:dyDescent="0.3">
      <c r="B292" s="38" t="s">
        <v>341</v>
      </c>
      <c r="C292">
        <f t="shared" ref="C292:C307" si="34">U4*(1+disc)^-18</f>
        <v>8.2304280216933066</v>
      </c>
      <c r="AC292" s="38" t="s">
        <v>741</v>
      </c>
      <c r="AD292">
        <f t="shared" ref="AD292:AD307" si="35">AV4*(1+disc)^-18</f>
        <v>8.2070791580632996</v>
      </c>
    </row>
    <row r="293" spans="2:30" x14ac:dyDescent="0.3">
      <c r="B293" s="38" t="s">
        <v>342</v>
      </c>
      <c r="C293">
        <f t="shared" si="34"/>
        <v>8.161530893334227</v>
      </c>
      <c r="AC293" s="38" t="s">
        <v>742</v>
      </c>
      <c r="AD293">
        <f t="shared" si="35"/>
        <v>8.1331785975407538</v>
      </c>
    </row>
    <row r="294" spans="2:30" x14ac:dyDescent="0.3">
      <c r="B294" s="38" t="s">
        <v>343</v>
      </c>
      <c r="C294">
        <f t="shared" si="34"/>
        <v>8.0695790571836561</v>
      </c>
      <c r="AC294" s="38" t="s">
        <v>743</v>
      </c>
      <c r="AD294">
        <f t="shared" si="35"/>
        <v>8.0342856384416681</v>
      </c>
    </row>
    <row r="295" spans="2:30" x14ac:dyDescent="0.3">
      <c r="B295" s="38" t="s">
        <v>344</v>
      </c>
      <c r="C295">
        <f t="shared" si="34"/>
        <v>7.9607568792713828</v>
      </c>
      <c r="AC295" s="38" t="s">
        <v>744</v>
      </c>
      <c r="AD295">
        <f t="shared" si="35"/>
        <v>7.9177425098147127</v>
      </c>
    </row>
    <row r="296" spans="2:30" x14ac:dyDescent="0.3">
      <c r="B296" s="38" t="s">
        <v>345</v>
      </c>
      <c r="C296">
        <f t="shared" si="34"/>
        <v>7.8399065774136423</v>
      </c>
      <c r="AC296" s="38" t="s">
        <v>745</v>
      </c>
      <c r="AD296">
        <f t="shared" si="35"/>
        <v>7.789426155736396</v>
      </c>
    </row>
    <row r="297" spans="2:30" x14ac:dyDescent="0.3">
      <c r="B297" s="38" t="s">
        <v>346</v>
      </c>
      <c r="C297">
        <f t="shared" si="34"/>
        <v>7.6952940529078582</v>
      </c>
      <c r="AC297" s="38" t="s">
        <v>746</v>
      </c>
      <c r="AD297">
        <f t="shared" si="35"/>
        <v>7.6365185786447904</v>
      </c>
    </row>
    <row r="298" spans="2:30" x14ac:dyDescent="0.3">
      <c r="B298" s="38" t="s">
        <v>347</v>
      </c>
      <c r="C298">
        <f t="shared" si="34"/>
        <v>7.5128677773310786</v>
      </c>
      <c r="AC298" s="38" t="s">
        <v>747</v>
      </c>
      <c r="AD298">
        <f t="shared" si="35"/>
        <v>7.4437161966004251</v>
      </c>
    </row>
    <row r="299" spans="2:30" x14ac:dyDescent="0.3">
      <c r="B299" s="38" t="s">
        <v>348</v>
      </c>
      <c r="C299">
        <f t="shared" si="34"/>
        <v>7.2889647536836231</v>
      </c>
      <c r="AC299" s="38" t="s">
        <v>748</v>
      </c>
      <c r="AD299">
        <f t="shared" si="35"/>
        <v>7.2076268713325007</v>
      </c>
    </row>
    <row r="300" spans="2:30" x14ac:dyDescent="0.3">
      <c r="B300" s="38" t="s">
        <v>349</v>
      </c>
      <c r="C300">
        <f t="shared" si="34"/>
        <v>7.0169898844443637</v>
      </c>
      <c r="AC300" s="38" t="s">
        <v>749</v>
      </c>
      <c r="AD300">
        <f t="shared" si="35"/>
        <v>6.9217039632812778</v>
      </c>
    </row>
    <row r="301" spans="2:30" x14ac:dyDescent="0.3">
      <c r="B301" s="38" t="s">
        <v>350</v>
      </c>
      <c r="C301">
        <f t="shared" si="34"/>
        <v>6.6914211720448789</v>
      </c>
      <c r="AC301" s="38" t="s">
        <v>750</v>
      </c>
      <c r="AD301">
        <f t="shared" si="35"/>
        <v>6.5807748555898522</v>
      </c>
    </row>
    <row r="302" spans="2:30" x14ac:dyDescent="0.3">
      <c r="B302" s="38" t="s">
        <v>351</v>
      </c>
      <c r="C302">
        <f t="shared" si="34"/>
        <v>6.3094640382168468</v>
      </c>
      <c r="AC302" s="38" t="s">
        <v>751</v>
      </c>
      <c r="AD302">
        <f t="shared" si="35"/>
        <v>6.1828963034540498</v>
      </c>
    </row>
    <row r="303" spans="2:30" x14ac:dyDescent="0.3">
      <c r="B303" s="38" t="s">
        <v>352</v>
      </c>
      <c r="C303">
        <f t="shared" si="34"/>
        <v>5.8641548851516729</v>
      </c>
      <c r="AC303" s="38" t="s">
        <v>752</v>
      </c>
      <c r="AD303">
        <f t="shared" si="35"/>
        <v>5.721586732195842</v>
      </c>
    </row>
    <row r="304" spans="2:30" x14ac:dyDescent="0.3">
      <c r="B304" s="38" t="s">
        <v>353</v>
      </c>
      <c r="C304">
        <f t="shared" si="34"/>
        <v>5.3532921217778524</v>
      </c>
      <c r="AC304" s="38" t="s">
        <v>753</v>
      </c>
      <c r="AD304">
        <f t="shared" si="35"/>
        <v>5.1957472419547104</v>
      </c>
    </row>
    <row r="305" spans="2:30" x14ac:dyDescent="0.3">
      <c r="B305" s="38" t="s">
        <v>354</v>
      </c>
      <c r="C305">
        <f t="shared" si="34"/>
        <v>4.7833049935498622</v>
      </c>
      <c r="AC305" s="38" t="s">
        <v>754</v>
      </c>
      <c r="AD305">
        <f t="shared" si="35"/>
        <v>4.6137806320862795</v>
      </c>
    </row>
    <row r="306" spans="2:30" x14ac:dyDescent="0.3">
      <c r="B306" s="38" t="s">
        <v>355</v>
      </c>
      <c r="C306">
        <f t="shared" si="34"/>
        <v>4.1591494723537306</v>
      </c>
      <c r="AC306" s="38" t="s">
        <v>755</v>
      </c>
      <c r="AD306">
        <f t="shared" si="35"/>
        <v>3.9821559769966717</v>
      </c>
    </row>
    <row r="307" spans="2:30" x14ac:dyDescent="0.3">
      <c r="B307" s="38" t="s">
        <v>356</v>
      </c>
      <c r="C307">
        <f t="shared" si="34"/>
        <v>3.218233618196273</v>
      </c>
      <c r="AC307" s="38" t="s">
        <v>756</v>
      </c>
      <c r="AD307">
        <f t="shared" si="35"/>
        <v>3.0412851706893393</v>
      </c>
    </row>
    <row r="308" spans="2:30" x14ac:dyDescent="0.3">
      <c r="B308" s="38" t="s">
        <v>357</v>
      </c>
      <c r="C308">
        <f t="shared" ref="C308:C323" si="36">V4*(1+disc)^-19</f>
        <v>7.84137758686557</v>
      </c>
      <c r="AC308" s="38" t="s">
        <v>757</v>
      </c>
      <c r="AD308">
        <f t="shared" ref="AD308:AD323" si="37">AW4*(1+disc)^-19</f>
        <v>7.8194378264735009</v>
      </c>
    </row>
    <row r="309" spans="2:30" x14ac:dyDescent="0.3">
      <c r="B309" s="38" t="s">
        <v>358</v>
      </c>
      <c r="C309">
        <f t="shared" si="36"/>
        <v>7.7763406124570187</v>
      </c>
      <c r="AC309" s="38" t="s">
        <v>758</v>
      </c>
      <c r="AD309">
        <f t="shared" si="37"/>
        <v>7.7496889272665355</v>
      </c>
    </row>
    <row r="310" spans="2:30" x14ac:dyDescent="0.3">
      <c r="B310" s="38" t="s">
        <v>359</v>
      </c>
      <c r="C310">
        <f t="shared" si="36"/>
        <v>7.6895922908351437</v>
      </c>
      <c r="AC310" s="38" t="s">
        <v>759</v>
      </c>
      <c r="AD310">
        <f t="shared" si="37"/>
        <v>7.6564096740842595</v>
      </c>
    </row>
    <row r="311" spans="2:30" x14ac:dyDescent="0.3">
      <c r="B311" s="38" t="s">
        <v>360</v>
      </c>
      <c r="C311">
        <f t="shared" si="36"/>
        <v>7.5868040867001589</v>
      </c>
      <c r="AC311" s="38" t="s">
        <v>760</v>
      </c>
      <c r="AD311">
        <f t="shared" si="37"/>
        <v>7.5463437428092295</v>
      </c>
    </row>
    <row r="312" spans="2:30" x14ac:dyDescent="0.3">
      <c r="B312" s="38" t="s">
        <v>361</v>
      </c>
      <c r="C312">
        <f t="shared" si="36"/>
        <v>7.4724002700563368</v>
      </c>
      <c r="AC312" s="38" t="s">
        <v>761</v>
      </c>
      <c r="AD312">
        <f t="shared" si="37"/>
        <v>7.4248749936294107</v>
      </c>
    </row>
    <row r="313" spans="2:30" x14ac:dyDescent="0.3">
      <c r="B313" s="38" t="s">
        <v>362</v>
      </c>
      <c r="C313">
        <f t="shared" si="36"/>
        <v>7.3353944282222976</v>
      </c>
      <c r="AC313" s="38" t="s">
        <v>762</v>
      </c>
      <c r="AD313">
        <f t="shared" si="37"/>
        <v>7.2800077344946024</v>
      </c>
    </row>
    <row r="314" spans="2:30" x14ac:dyDescent="0.3">
      <c r="B314" s="38" t="s">
        <v>363</v>
      </c>
      <c r="C314">
        <f t="shared" si="36"/>
        <v>7.162597498510042</v>
      </c>
      <c r="AC314" s="38" t="s">
        <v>763</v>
      </c>
      <c r="AD314">
        <f t="shared" si="37"/>
        <v>7.0973832307015847</v>
      </c>
    </row>
    <row r="315" spans="2:30" x14ac:dyDescent="0.3">
      <c r="B315" s="38" t="s">
        <v>364</v>
      </c>
      <c r="C315">
        <f t="shared" si="36"/>
        <v>6.9504544397137638</v>
      </c>
      <c r="AC315" s="38" t="s">
        <v>764</v>
      </c>
      <c r="AD315">
        <f t="shared" si="37"/>
        <v>6.8736935788634526</v>
      </c>
    </row>
    <row r="316" spans="2:30" x14ac:dyDescent="0.3">
      <c r="B316" s="38" t="s">
        <v>365</v>
      </c>
      <c r="C316">
        <f t="shared" si="36"/>
        <v>6.6926604446728541</v>
      </c>
      <c r="AC316" s="38" t="s">
        <v>765</v>
      </c>
      <c r="AD316">
        <f t="shared" si="37"/>
        <v>6.6026750906417293</v>
      </c>
    </row>
    <row r="317" spans="2:30" x14ac:dyDescent="0.3">
      <c r="B317" s="38" t="s">
        <v>366</v>
      </c>
      <c r="C317">
        <f t="shared" si="36"/>
        <v>6.3838964106373073</v>
      </c>
      <c r="AC317" s="38" t="s">
        <v>766</v>
      </c>
      <c r="AD317">
        <f t="shared" si="37"/>
        <v>6.2793332004413722</v>
      </c>
    </row>
    <row r="318" spans="2:30" x14ac:dyDescent="0.3">
      <c r="B318" s="38" t="s">
        <v>367</v>
      </c>
      <c r="C318">
        <f t="shared" si="36"/>
        <v>6.0213611621465288</v>
      </c>
      <c r="AC318" s="38" t="s">
        <v>767</v>
      </c>
      <c r="AD318">
        <f t="shared" si="37"/>
        <v>5.9016620658613412</v>
      </c>
    </row>
    <row r="319" spans="2:30" x14ac:dyDescent="0.3">
      <c r="B319" s="38" t="s">
        <v>368</v>
      </c>
      <c r="C319">
        <f t="shared" si="36"/>
        <v>5.5983231439314309</v>
      </c>
      <c r="AC319" s="38" t="s">
        <v>768</v>
      </c>
      <c r="AD319">
        <f t="shared" si="37"/>
        <v>5.4633817222501033</v>
      </c>
    </row>
    <row r="320" spans="2:30" x14ac:dyDescent="0.3">
      <c r="B320" s="38" t="s">
        <v>369</v>
      </c>
      <c r="C320">
        <f t="shared" si="36"/>
        <v>5.1124700501949158</v>
      </c>
      <c r="AC320" s="38" t="s">
        <v>769</v>
      </c>
      <c r="AD320">
        <f t="shared" si="37"/>
        <v>4.9632160346844607</v>
      </c>
    </row>
    <row r="321" spans="2:30" x14ac:dyDescent="0.3">
      <c r="B321" s="38" t="s">
        <v>370</v>
      </c>
      <c r="C321">
        <f t="shared" si="36"/>
        <v>4.5696056669676057</v>
      </c>
      <c r="AC321" s="38" t="s">
        <v>770</v>
      </c>
      <c r="AD321">
        <f t="shared" si="37"/>
        <v>4.4088321353242499</v>
      </c>
    </row>
    <row r="322" spans="2:30" x14ac:dyDescent="0.3">
      <c r="B322" s="38" t="s">
        <v>371</v>
      </c>
      <c r="C322">
        <f t="shared" si="36"/>
        <v>3.9744019523894911</v>
      </c>
      <c r="AC322" s="38" t="s">
        <v>771</v>
      </c>
      <c r="AD322">
        <f t="shared" si="37"/>
        <v>3.8063621507969994</v>
      </c>
    </row>
    <row r="323" spans="2:30" x14ac:dyDescent="0.3">
      <c r="B323" s="38" t="s">
        <v>372</v>
      </c>
      <c r="C323">
        <f t="shared" si="36"/>
        <v>3.0758777491118106</v>
      </c>
      <c r="AC323" s="38" t="s">
        <v>772</v>
      </c>
      <c r="AD323">
        <f t="shared" si="37"/>
        <v>2.9076512047929648</v>
      </c>
    </row>
    <row r="324" spans="2:30" x14ac:dyDescent="0.3">
      <c r="B324" s="38" t="s">
        <v>373</v>
      </c>
      <c r="C324">
        <f t="shared" ref="C324:C339" si="38">W4*(1+disc)^-20</f>
        <v>7.470725473704559</v>
      </c>
      <c r="AC324" s="38" t="s">
        <v>773</v>
      </c>
      <c r="AD324">
        <f t="shared" ref="AD324:AD339" si="39">AX4*(1+disc)^-20</f>
        <v>7.4501151931494833</v>
      </c>
    </row>
    <row r="325" spans="2:30" x14ac:dyDescent="0.3">
      <c r="B325" s="38" t="s">
        <v>374</v>
      </c>
      <c r="C325">
        <f t="shared" si="38"/>
        <v>7.4093395853203576</v>
      </c>
      <c r="AC325" s="38" t="s">
        <v>774</v>
      </c>
      <c r="AD325">
        <f t="shared" si="39"/>
        <v>7.3842928836665784</v>
      </c>
    </row>
    <row r="326" spans="2:30" x14ac:dyDescent="0.3">
      <c r="B326" s="38" t="s">
        <v>375</v>
      </c>
      <c r="C326">
        <f t="shared" si="38"/>
        <v>7.3275107290117596</v>
      </c>
      <c r="AC326" s="38" t="s">
        <v>775</v>
      </c>
      <c r="AD326">
        <f t="shared" si="39"/>
        <v>7.2963204970366657</v>
      </c>
    </row>
    <row r="327" spans="2:30" x14ac:dyDescent="0.3">
      <c r="B327" s="38" t="s">
        <v>376</v>
      </c>
      <c r="C327">
        <f t="shared" si="38"/>
        <v>7.2304321840111472</v>
      </c>
      <c r="AC327" s="38" t="s">
        <v>776</v>
      </c>
      <c r="AD327">
        <f t="shared" si="39"/>
        <v>7.1923833645297321</v>
      </c>
    </row>
    <row r="328" spans="2:30" x14ac:dyDescent="0.3">
      <c r="B328" s="38" t="s">
        <v>377</v>
      </c>
      <c r="C328">
        <f t="shared" si="38"/>
        <v>7.1221389422805093</v>
      </c>
      <c r="AC328" s="38" t="s">
        <v>777</v>
      </c>
      <c r="AD328">
        <f t="shared" si="39"/>
        <v>7.0774056916445405</v>
      </c>
    </row>
    <row r="329" spans="2:30" x14ac:dyDescent="0.3">
      <c r="B329" s="38" t="s">
        <v>378</v>
      </c>
      <c r="C329">
        <f t="shared" si="38"/>
        <v>6.9923480096053012</v>
      </c>
      <c r="AC329" s="38" t="s">
        <v>778</v>
      </c>
      <c r="AD329">
        <f t="shared" si="39"/>
        <v>6.9401652440147714</v>
      </c>
    </row>
    <row r="330" spans="2:30" x14ac:dyDescent="0.3">
      <c r="B330" s="38" t="s">
        <v>379</v>
      </c>
      <c r="C330">
        <f t="shared" si="38"/>
        <v>6.8286829055086633</v>
      </c>
      <c r="AC330" s="38" t="s">
        <v>779</v>
      </c>
      <c r="AD330">
        <f t="shared" si="39"/>
        <v>6.7671933199890599</v>
      </c>
    </row>
    <row r="331" spans="2:30" x14ac:dyDescent="0.3">
      <c r="B331" s="38" t="s">
        <v>380</v>
      </c>
      <c r="C331">
        <f t="shared" si="38"/>
        <v>6.627694582485498</v>
      </c>
      <c r="AC331" s="38" t="s">
        <v>780</v>
      </c>
      <c r="AD331">
        <f t="shared" si="39"/>
        <v>6.5552659177812282</v>
      </c>
    </row>
    <row r="332" spans="2:30" x14ac:dyDescent="0.3">
      <c r="B332" s="38" t="s">
        <v>381</v>
      </c>
      <c r="C332">
        <f t="shared" si="38"/>
        <v>6.3833558553513186</v>
      </c>
      <c r="AC332" s="38" t="s">
        <v>781</v>
      </c>
      <c r="AD332">
        <f t="shared" si="39"/>
        <v>6.2983902084684589</v>
      </c>
    </row>
    <row r="333" spans="2:30" x14ac:dyDescent="0.3">
      <c r="B333" s="38" t="s">
        <v>382</v>
      </c>
      <c r="C333">
        <f t="shared" si="38"/>
        <v>6.0905435158220547</v>
      </c>
      <c r="AC333" s="38" t="s">
        <v>782</v>
      </c>
      <c r="AD333">
        <f t="shared" si="39"/>
        <v>5.9917441945407921</v>
      </c>
    </row>
    <row r="334" spans="2:30" x14ac:dyDescent="0.3">
      <c r="B334" s="38" t="s">
        <v>383</v>
      </c>
      <c r="C334">
        <f t="shared" si="38"/>
        <v>5.7464561207490519</v>
      </c>
      <c r="AC334" s="38" t="s">
        <v>783</v>
      </c>
      <c r="AD334">
        <f t="shared" si="39"/>
        <v>5.6332690320812446</v>
      </c>
    </row>
    <row r="335" spans="2:30" x14ac:dyDescent="0.3">
      <c r="B335" s="38" t="s">
        <v>384</v>
      </c>
      <c r="C335">
        <f t="shared" si="38"/>
        <v>5.344586985190813</v>
      </c>
      <c r="AC335" s="38" t="s">
        <v>784</v>
      </c>
      <c r="AD335">
        <f t="shared" si="39"/>
        <v>5.2168808412413687</v>
      </c>
    </row>
    <row r="336" spans="2:30" x14ac:dyDescent="0.3">
      <c r="B336" s="38" t="s">
        <v>385</v>
      </c>
      <c r="C336">
        <f t="shared" si="38"/>
        <v>4.8825268084832665</v>
      </c>
      <c r="AC336" s="38" t="s">
        <v>785</v>
      </c>
      <c r="AD336">
        <f t="shared" si="39"/>
        <v>4.7411435010860519</v>
      </c>
    </row>
    <row r="337" spans="2:30" x14ac:dyDescent="0.3">
      <c r="B337" s="38" t="s">
        <v>386</v>
      </c>
      <c r="C337">
        <f t="shared" si="38"/>
        <v>4.3654962595964637</v>
      </c>
      <c r="AC337" s="38" t="s">
        <v>786</v>
      </c>
      <c r="AD337">
        <f t="shared" si="39"/>
        <v>4.2130364607039601</v>
      </c>
    </row>
    <row r="338" spans="2:30" x14ac:dyDescent="0.3">
      <c r="B338" s="38" t="s">
        <v>387</v>
      </c>
      <c r="C338">
        <f t="shared" si="38"/>
        <v>3.7978978185617791</v>
      </c>
      <c r="AC338" s="38" t="s">
        <v>787</v>
      </c>
      <c r="AD338">
        <f t="shared" si="39"/>
        <v>3.638371030067229</v>
      </c>
    </row>
    <row r="339" spans="2:30" x14ac:dyDescent="0.3">
      <c r="B339" s="38" t="s">
        <v>388</v>
      </c>
      <c r="C339">
        <f t="shared" si="38"/>
        <v>2.9398427985011275</v>
      </c>
      <c r="AC339" s="38" t="s">
        <v>788</v>
      </c>
      <c r="AD339">
        <f t="shared" si="39"/>
        <v>2.7799163892740277</v>
      </c>
    </row>
    <row r="340" spans="2:30" x14ac:dyDescent="0.3">
      <c r="B340" s="38" t="s">
        <v>389</v>
      </c>
      <c r="C340">
        <f t="shared" ref="C340:C355" si="40">X4*(1+disc)^-21</f>
        <v>7.1176013029505967</v>
      </c>
      <c r="AC340" s="38" t="s">
        <v>789</v>
      </c>
      <c r="AD340">
        <f t="shared" ref="AD340:AD355" si="41">AY4*(1+disc)^-21</f>
        <v>7.098245208712151</v>
      </c>
    </row>
    <row r="341" spans="2:30" x14ac:dyDescent="0.3">
      <c r="B341" s="38" t="s">
        <v>390</v>
      </c>
      <c r="C341">
        <f t="shared" si="40"/>
        <v>7.0596684980854212</v>
      </c>
      <c r="AC341" s="38" t="s">
        <v>790</v>
      </c>
      <c r="AD341">
        <f t="shared" si="41"/>
        <v>7.0361363314434895</v>
      </c>
    </row>
    <row r="342" spans="2:30" x14ac:dyDescent="0.3">
      <c r="B342" s="38" t="s">
        <v>391</v>
      </c>
      <c r="C342">
        <f t="shared" si="40"/>
        <v>6.9824901911291102</v>
      </c>
      <c r="AC342" s="38" t="s">
        <v>791</v>
      </c>
      <c r="AD342">
        <f t="shared" si="41"/>
        <v>6.9531803267541825</v>
      </c>
    </row>
    <row r="343" spans="2:30" x14ac:dyDescent="0.3">
      <c r="B343" s="38" t="s">
        <v>392</v>
      </c>
      <c r="C343">
        <f t="shared" si="40"/>
        <v>6.8908140536317504</v>
      </c>
      <c r="AC343" s="38" t="s">
        <v>792</v>
      </c>
      <c r="AD343">
        <f t="shared" si="41"/>
        <v>6.8550419246730483</v>
      </c>
    </row>
    <row r="344" spans="2:30" x14ac:dyDescent="0.3">
      <c r="B344" s="38" t="s">
        <v>393</v>
      </c>
      <c r="C344">
        <f t="shared" si="40"/>
        <v>6.7883126935398534</v>
      </c>
      <c r="AC344" s="38" t="s">
        <v>793</v>
      </c>
      <c r="AD344">
        <f t="shared" si="41"/>
        <v>6.746217048743298</v>
      </c>
    </row>
    <row r="345" spans="2:30" x14ac:dyDescent="0.3">
      <c r="B345" s="38" t="s">
        <v>394</v>
      </c>
      <c r="C345">
        <f t="shared" si="40"/>
        <v>6.6653647742815707</v>
      </c>
      <c r="AC345" s="38" t="s">
        <v>794</v>
      </c>
      <c r="AD345">
        <f t="shared" si="41"/>
        <v>6.6162108455220929</v>
      </c>
    </row>
    <row r="346" spans="2:30" x14ac:dyDescent="0.3">
      <c r="B346" s="38" t="s">
        <v>395</v>
      </c>
      <c r="C346">
        <f t="shared" si="40"/>
        <v>6.5103592932093708</v>
      </c>
      <c r="AC346" s="38" t="s">
        <v>795</v>
      </c>
      <c r="AD346">
        <f t="shared" si="41"/>
        <v>6.4523928913124005</v>
      </c>
    </row>
    <row r="347" spans="2:30" x14ac:dyDescent="0.3">
      <c r="B347" s="38" t="s">
        <v>396</v>
      </c>
      <c r="C347">
        <f t="shared" si="40"/>
        <v>6.3199511764346727</v>
      </c>
      <c r="AC347" s="38" t="s">
        <v>796</v>
      </c>
      <c r="AD347">
        <f t="shared" si="41"/>
        <v>6.2516225941521855</v>
      </c>
    </row>
    <row r="348" spans="2:30" x14ac:dyDescent="0.3">
      <c r="B348" s="38" t="s">
        <v>397</v>
      </c>
      <c r="C348">
        <f t="shared" si="40"/>
        <v>6.0883787398764913</v>
      </c>
      <c r="AC348" s="38" t="s">
        <v>797</v>
      </c>
      <c r="AD348">
        <f t="shared" si="41"/>
        <v>6.0081664025709394</v>
      </c>
    </row>
    <row r="349" spans="2:30" x14ac:dyDescent="0.3">
      <c r="B349" s="38" t="s">
        <v>398</v>
      </c>
      <c r="C349">
        <f t="shared" si="40"/>
        <v>5.8107078838204078</v>
      </c>
      <c r="AC349" s="38" t="s">
        <v>798</v>
      </c>
      <c r="AD349">
        <f t="shared" si="41"/>
        <v>5.7173695323768223</v>
      </c>
    </row>
    <row r="350" spans="2:30" x14ac:dyDescent="0.3">
      <c r="B350" s="38" t="s">
        <v>399</v>
      </c>
      <c r="C350">
        <f t="shared" si="40"/>
        <v>5.4841426635314559</v>
      </c>
      <c r="AC350" s="38" t="s">
        <v>799</v>
      </c>
      <c r="AD350">
        <f t="shared" si="41"/>
        <v>5.3771289914025022</v>
      </c>
    </row>
    <row r="351" spans="2:30" x14ac:dyDescent="0.3">
      <c r="B351" s="38" t="s">
        <v>400</v>
      </c>
      <c r="C351">
        <f t="shared" si="40"/>
        <v>5.1023942811556395</v>
      </c>
      <c r="AC351" s="38" t="s">
        <v>800</v>
      </c>
      <c r="AD351">
        <f t="shared" si="41"/>
        <v>4.9815515654656224</v>
      </c>
    </row>
    <row r="352" spans="2:30" x14ac:dyDescent="0.3">
      <c r="B352" s="38" t="s">
        <v>401</v>
      </c>
      <c r="C352">
        <f t="shared" si="40"/>
        <v>4.6629691734016214</v>
      </c>
      <c r="AC352" s="38" t="s">
        <v>801</v>
      </c>
      <c r="AD352">
        <f t="shared" si="41"/>
        <v>4.52905723327427</v>
      </c>
    </row>
    <row r="353" spans="2:30" x14ac:dyDescent="0.3">
      <c r="B353" s="38" t="s">
        <v>402</v>
      </c>
      <c r="C353">
        <f t="shared" si="40"/>
        <v>4.1705447190586451</v>
      </c>
      <c r="AC353" s="38" t="s">
        <v>802</v>
      </c>
      <c r="AD353">
        <f t="shared" si="41"/>
        <v>4.0259829532637506</v>
      </c>
    </row>
    <row r="354" spans="2:30" x14ac:dyDescent="0.3">
      <c r="B354" s="38" t="s">
        <v>403</v>
      </c>
      <c r="C354">
        <f t="shared" si="40"/>
        <v>3.6292677620770863</v>
      </c>
      <c r="AC354" s="38" t="s">
        <v>803</v>
      </c>
      <c r="AD354">
        <f t="shared" si="41"/>
        <v>3.4778346228216979</v>
      </c>
    </row>
    <row r="355" spans="2:30" x14ac:dyDescent="0.3">
      <c r="B355" s="38" t="s">
        <v>404</v>
      </c>
      <c r="C355">
        <f t="shared" si="40"/>
        <v>2.8098471117056167</v>
      </c>
      <c r="AC355" s="38" t="s">
        <v>804</v>
      </c>
      <c r="AD355">
        <f t="shared" si="41"/>
        <v>2.6578192033144408</v>
      </c>
    </row>
    <row r="356" spans="2:30" x14ac:dyDescent="0.3">
      <c r="B356" s="38" t="s">
        <v>405</v>
      </c>
      <c r="C356">
        <f t="shared" ref="C356:C371" si="42">Y4*(1+disc)^-22</f>
        <v>6.7811758835516507</v>
      </c>
      <c r="AC356" s="38" t="s">
        <v>805</v>
      </c>
      <c r="AD356">
        <f t="shared" ref="AD356:AD371" si="43">AZ4*(1+disc)^-22</f>
        <v>6.7630027823083392</v>
      </c>
    </row>
    <row r="357" spans="2:30" x14ac:dyDescent="0.3">
      <c r="B357" s="38" t="s">
        <v>406</v>
      </c>
      <c r="C357">
        <f t="shared" si="42"/>
        <v>6.7265086490707828</v>
      </c>
      <c r="AC357" s="38" t="s">
        <v>806</v>
      </c>
      <c r="AD357">
        <f t="shared" si="43"/>
        <v>6.7044054737640097</v>
      </c>
    </row>
    <row r="358" spans="2:30" x14ac:dyDescent="0.3">
      <c r="B358" s="38" t="s">
        <v>407</v>
      </c>
      <c r="C358">
        <f t="shared" si="42"/>
        <v>6.653726316416626</v>
      </c>
      <c r="AC358" s="38" t="s">
        <v>807</v>
      </c>
      <c r="AD358">
        <f t="shared" si="43"/>
        <v>6.6261908648422523</v>
      </c>
    </row>
    <row r="359" spans="2:30" x14ac:dyDescent="0.3">
      <c r="B359" s="38" t="s">
        <v>408</v>
      </c>
      <c r="C359">
        <f t="shared" si="42"/>
        <v>6.5671615138267754</v>
      </c>
      <c r="AC359" s="38" t="s">
        <v>808</v>
      </c>
      <c r="AD359">
        <f t="shared" si="43"/>
        <v>6.5335385057965176</v>
      </c>
    </row>
    <row r="360" spans="2:30" x14ac:dyDescent="0.3">
      <c r="B360" s="38" t="s">
        <v>409</v>
      </c>
      <c r="C360">
        <f t="shared" si="42"/>
        <v>6.4701496873050122</v>
      </c>
      <c r="AC360" s="38" t="s">
        <v>809</v>
      </c>
      <c r="AD360">
        <f t="shared" si="43"/>
        <v>6.4305454741178067</v>
      </c>
    </row>
    <row r="361" spans="2:30" x14ac:dyDescent="0.3">
      <c r="B361" s="38" t="s">
        <v>410</v>
      </c>
      <c r="C361">
        <f t="shared" si="42"/>
        <v>6.3536917660520977</v>
      </c>
      <c r="AC361" s="38" t="s">
        <v>810</v>
      </c>
      <c r="AD361">
        <f t="shared" si="43"/>
        <v>6.3074008391367942</v>
      </c>
    </row>
    <row r="362" spans="2:30" x14ac:dyDescent="0.3">
      <c r="B362" s="38" t="s">
        <v>411</v>
      </c>
      <c r="C362">
        <f t="shared" si="42"/>
        <v>6.2068977491020245</v>
      </c>
      <c r="AC362" s="38" t="s">
        <v>811</v>
      </c>
      <c r="AD362">
        <f t="shared" si="43"/>
        <v>6.1522635928207619</v>
      </c>
    </row>
    <row r="363" spans="2:30" x14ac:dyDescent="0.3">
      <c r="B363" s="38" t="s">
        <v>412</v>
      </c>
      <c r="C363">
        <f t="shared" si="42"/>
        <v>6.0265244680594767</v>
      </c>
      <c r="AC363" s="38" t="s">
        <v>812</v>
      </c>
      <c r="AD363">
        <f t="shared" si="43"/>
        <v>5.9620759185503696</v>
      </c>
    </row>
    <row r="364" spans="2:30" x14ac:dyDescent="0.3">
      <c r="B364" s="38" t="s">
        <v>413</v>
      </c>
      <c r="C364">
        <f t="shared" si="42"/>
        <v>5.8070641431872829</v>
      </c>
      <c r="AC364" s="38" t="s">
        <v>813</v>
      </c>
      <c r="AD364">
        <f t="shared" si="43"/>
        <v>5.7313524490385044</v>
      </c>
    </row>
    <row r="365" spans="2:30" x14ac:dyDescent="0.3">
      <c r="B365" s="38" t="s">
        <v>414</v>
      </c>
      <c r="C365">
        <f t="shared" si="42"/>
        <v>5.5437652070303525</v>
      </c>
      <c r="AC365" s="38" t="s">
        <v>814</v>
      </c>
      <c r="AD365">
        <f t="shared" si="43"/>
        <v>5.4556003868553473</v>
      </c>
    </row>
    <row r="366" spans="2:30" x14ac:dyDescent="0.3">
      <c r="B366" s="38" t="s">
        <v>415</v>
      </c>
      <c r="C366">
        <f t="shared" si="42"/>
        <v>5.2338424543099782</v>
      </c>
      <c r="AC366" s="38" t="s">
        <v>815</v>
      </c>
      <c r="AD366">
        <f t="shared" si="43"/>
        <v>5.1326807498863367</v>
      </c>
    </row>
    <row r="367" spans="2:30" x14ac:dyDescent="0.3">
      <c r="B367" s="38" t="s">
        <v>416</v>
      </c>
      <c r="C367">
        <f t="shared" si="42"/>
        <v>4.8712181770461038</v>
      </c>
      <c r="AC367" s="38" t="s">
        <v>816</v>
      </c>
      <c r="AD367">
        <f t="shared" si="43"/>
        <v>4.7568856776181212</v>
      </c>
    </row>
    <row r="368" spans="2:30" x14ac:dyDescent="0.3">
      <c r="B368" s="38" t="s">
        <v>417</v>
      </c>
      <c r="C368">
        <f t="shared" si="42"/>
        <v>4.4533263543115709</v>
      </c>
      <c r="AC368" s="38" t="s">
        <v>817</v>
      </c>
      <c r="AD368">
        <f t="shared" si="43"/>
        <v>4.3265062394691096</v>
      </c>
    </row>
    <row r="369" spans="2:30" x14ac:dyDescent="0.3">
      <c r="B369" s="38" t="s">
        <v>418</v>
      </c>
      <c r="C369">
        <f t="shared" si="42"/>
        <v>3.9843385259458888</v>
      </c>
      <c r="AC369" s="38" t="s">
        <v>818</v>
      </c>
      <c r="AD369">
        <f t="shared" si="43"/>
        <v>3.8472794569561408</v>
      </c>
    </row>
    <row r="370" spans="2:30" x14ac:dyDescent="0.3">
      <c r="B370" s="38" t="s">
        <v>419</v>
      </c>
      <c r="C370">
        <f t="shared" si="42"/>
        <v>3.4681590796628319</v>
      </c>
      <c r="AC370" s="38" t="s">
        <v>819</v>
      </c>
      <c r="AD370">
        <f t="shared" si="43"/>
        <v>3.3244205230402284</v>
      </c>
    </row>
    <row r="371" spans="2:30" x14ac:dyDescent="0.3">
      <c r="B371" s="38" t="s">
        <v>420</v>
      </c>
      <c r="C371">
        <f t="shared" si="42"/>
        <v>2.68562162546786</v>
      </c>
      <c r="AC371" s="38" t="s">
        <v>820</v>
      </c>
      <c r="AD371">
        <f t="shared" si="43"/>
        <v>2.5411097648837964</v>
      </c>
    </row>
    <row r="372" spans="2:30" x14ac:dyDescent="0.3">
      <c r="B372" s="38" t="s">
        <v>421</v>
      </c>
      <c r="C372">
        <f t="shared" ref="C372:C387" si="44">Z4*(1+disc)^-23</f>
        <v>6.4606592630324604</v>
      </c>
      <c r="AC372" s="38" t="s">
        <v>821</v>
      </c>
      <c r="AD372">
        <f t="shared" ref="AD372:AD387" si="45">BA4*(1+disc)^-23</f>
        <v>6.4436018439549274</v>
      </c>
    </row>
    <row r="373" spans="2:30" x14ac:dyDescent="0.3">
      <c r="B373" s="38" t="s">
        <v>422</v>
      </c>
      <c r="C373">
        <f t="shared" si="44"/>
        <v>6.4090800287403136</v>
      </c>
      <c r="AC373" s="38" t="s">
        <v>822</v>
      </c>
      <c r="AD373">
        <f t="shared" si="45"/>
        <v>6.3883249464695107</v>
      </c>
    </row>
    <row r="374" spans="2:30" x14ac:dyDescent="0.3">
      <c r="B374" s="38" t="s">
        <v>423</v>
      </c>
      <c r="C374">
        <f t="shared" si="44"/>
        <v>6.3404526848546636</v>
      </c>
      <c r="AC374" s="38" t="s">
        <v>823</v>
      </c>
      <c r="AD374">
        <f t="shared" si="45"/>
        <v>6.3145914335131081</v>
      </c>
    </row>
    <row r="375" spans="2:30" x14ac:dyDescent="0.3">
      <c r="B375" s="38" t="s">
        <v>424</v>
      </c>
      <c r="C375">
        <f t="shared" si="44"/>
        <v>6.2587234849026752</v>
      </c>
      <c r="AC375" s="38" t="s">
        <v>824</v>
      </c>
      <c r="AD375">
        <f t="shared" si="45"/>
        <v>6.2271289103605332</v>
      </c>
    </row>
    <row r="376" spans="2:30" x14ac:dyDescent="0.3">
      <c r="B376" s="38" t="s">
        <v>425</v>
      </c>
      <c r="C376">
        <f t="shared" si="44"/>
        <v>6.1669143610094919</v>
      </c>
      <c r="AC376" s="38" t="s">
        <v>825</v>
      </c>
      <c r="AD376">
        <f t="shared" si="45"/>
        <v>6.1296632204473802</v>
      </c>
    </row>
    <row r="377" spans="2:30" x14ac:dyDescent="0.3">
      <c r="B377" s="38" t="s">
        <v>426</v>
      </c>
      <c r="C377">
        <f t="shared" si="44"/>
        <v>6.0566113548689513</v>
      </c>
      <c r="AC377" s="38" t="s">
        <v>826</v>
      </c>
      <c r="AD377">
        <f t="shared" si="45"/>
        <v>6.0130263720880395</v>
      </c>
    </row>
    <row r="378" spans="2:30" x14ac:dyDescent="0.3">
      <c r="B378" s="38" t="s">
        <v>427</v>
      </c>
      <c r="C378">
        <f t="shared" si="44"/>
        <v>5.9176034764175256</v>
      </c>
      <c r="AC378" s="38" t="s">
        <v>827</v>
      </c>
      <c r="AD378">
        <f t="shared" si="45"/>
        <v>5.8661206460199065</v>
      </c>
    </row>
    <row r="379" spans="2:30" x14ac:dyDescent="0.3">
      <c r="B379" s="38" t="s">
        <v>428</v>
      </c>
      <c r="C379">
        <f t="shared" si="44"/>
        <v>5.7467473557285063</v>
      </c>
      <c r="AC379" s="38" t="s">
        <v>828</v>
      </c>
      <c r="AD379">
        <f t="shared" si="45"/>
        <v>5.6859702384283102</v>
      </c>
    </row>
    <row r="380" spans="2:30" x14ac:dyDescent="0.3">
      <c r="B380" s="38" t="s">
        <v>429</v>
      </c>
      <c r="C380">
        <f t="shared" si="44"/>
        <v>5.5387780223495779</v>
      </c>
      <c r="AC380" s="38" t="s">
        <v>829</v>
      </c>
      <c r="AD380">
        <f t="shared" si="45"/>
        <v>5.4673273413462127</v>
      </c>
    </row>
    <row r="381" spans="2:30" x14ac:dyDescent="0.3">
      <c r="B381" s="38" t="s">
        <v>430</v>
      </c>
      <c r="C381">
        <f t="shared" si="44"/>
        <v>5.2891200694813119</v>
      </c>
      <c r="AC381" s="38" t="s">
        <v>830</v>
      </c>
      <c r="AD381">
        <f t="shared" si="45"/>
        <v>5.205856045306394</v>
      </c>
    </row>
    <row r="382" spans="2:30" x14ac:dyDescent="0.3">
      <c r="B382" s="38" t="s">
        <v>431</v>
      </c>
      <c r="C382">
        <f t="shared" si="44"/>
        <v>4.9950037832924998</v>
      </c>
      <c r="AC382" s="38" t="s">
        <v>831</v>
      </c>
      <c r="AD382">
        <f t="shared" si="45"/>
        <v>4.8993888866124795</v>
      </c>
    </row>
    <row r="383" spans="2:30" x14ac:dyDescent="0.3">
      <c r="B383" s="38" t="s">
        <v>432</v>
      </c>
      <c r="C383">
        <f t="shared" si="44"/>
        <v>4.6505559314431171</v>
      </c>
      <c r="AC383" s="38" t="s">
        <v>832</v>
      </c>
      <c r="AD383">
        <f t="shared" si="45"/>
        <v>4.5423981543274179</v>
      </c>
    </row>
    <row r="384" spans="2:30" x14ac:dyDescent="0.3">
      <c r="B384" s="38" t="s">
        <v>433</v>
      </c>
      <c r="C384">
        <f t="shared" si="44"/>
        <v>4.253148970072921</v>
      </c>
      <c r="AC384" s="38" t="s">
        <v>833</v>
      </c>
      <c r="AD384">
        <f t="shared" si="45"/>
        <v>4.1330599700605282</v>
      </c>
    </row>
    <row r="385" spans="2:30" x14ac:dyDescent="0.3">
      <c r="B385" s="38" t="s">
        <v>434</v>
      </c>
      <c r="C385">
        <f t="shared" si="44"/>
        <v>3.8064838080167207</v>
      </c>
      <c r="AC385" s="38" t="s">
        <v>834</v>
      </c>
      <c r="AD385">
        <f t="shared" si="45"/>
        <v>3.6765514783933524</v>
      </c>
    </row>
    <row r="386" spans="2:30" x14ac:dyDescent="0.3">
      <c r="B386" s="38" t="s">
        <v>435</v>
      </c>
      <c r="C386">
        <f t="shared" si="44"/>
        <v>3.3142349244774336</v>
      </c>
      <c r="AC386" s="38" t="s">
        <v>835</v>
      </c>
      <c r="AD386">
        <f t="shared" si="45"/>
        <v>3.1778112099766274</v>
      </c>
    </row>
    <row r="387" spans="2:30" x14ac:dyDescent="0.3">
      <c r="B387" s="38" t="s">
        <v>436</v>
      </c>
      <c r="C387">
        <f t="shared" si="44"/>
        <v>2.5669093033263439</v>
      </c>
      <c r="AC387" s="38" t="s">
        <v>836</v>
      </c>
      <c r="AD387">
        <f t="shared" si="45"/>
        <v>2.4295493109285</v>
      </c>
    </row>
    <row r="388" spans="2:30" x14ac:dyDescent="0.3">
      <c r="B388" s="38" t="s">
        <v>437</v>
      </c>
      <c r="C388">
        <f t="shared" ref="C388:C403" si="46">AA4*(1+disc)^-24</f>
        <v>6.1550403118682064</v>
      </c>
      <c r="AC388" s="38" t="s">
        <v>837</v>
      </c>
      <c r="AD388">
        <f t="shared" ref="AD388:AD403" si="47">BB4*(1+disc)^-24</f>
        <v>6.1390043931987082</v>
      </c>
    </row>
    <row r="389" spans="2:30" x14ac:dyDescent="0.3">
      <c r="B389" s="38" t="s">
        <v>438</v>
      </c>
      <c r="C389">
        <f t="shared" si="46"/>
        <v>6.1063617226588578</v>
      </c>
      <c r="AC389" s="38" t="s">
        <v>838</v>
      </c>
      <c r="AD389">
        <f t="shared" si="47"/>
        <v>6.0868463561575998</v>
      </c>
    </row>
    <row r="390" spans="2:30" x14ac:dyDescent="0.3">
      <c r="B390" s="38" t="s">
        <v>439</v>
      </c>
      <c r="C390">
        <f t="shared" si="46"/>
        <v>6.0415992923184154</v>
      </c>
      <c r="AC390" s="38" t="s">
        <v>839</v>
      </c>
      <c r="AD390">
        <f t="shared" si="47"/>
        <v>6.0172787600925588</v>
      </c>
    </row>
    <row r="391" spans="2:30" x14ac:dyDescent="0.3">
      <c r="B391" s="38" t="s">
        <v>440</v>
      </c>
      <c r="C391">
        <f t="shared" si="46"/>
        <v>5.9643873168733155</v>
      </c>
      <c r="AC391" s="38" t="s">
        <v>840</v>
      </c>
      <c r="AD391">
        <f t="shared" si="47"/>
        <v>5.9346624659791996</v>
      </c>
    </row>
    <row r="392" spans="2:30" x14ac:dyDescent="0.3">
      <c r="B392" s="38" t="s">
        <v>441</v>
      </c>
      <c r="C392">
        <f t="shared" si="46"/>
        <v>5.8774776094341181</v>
      </c>
      <c r="AC392" s="38" t="s">
        <v>841</v>
      </c>
      <c r="AD392">
        <f t="shared" si="47"/>
        <v>5.8424020454997549</v>
      </c>
    </row>
    <row r="393" spans="2:30" x14ac:dyDescent="0.3">
      <c r="B393" s="38" t="s">
        <v>442</v>
      </c>
      <c r="C393">
        <f t="shared" si="46"/>
        <v>5.772984044306253</v>
      </c>
      <c r="AC393" s="38" t="s">
        <v>842</v>
      </c>
      <c r="AD393">
        <f t="shared" si="47"/>
        <v>5.7319086593900259</v>
      </c>
    </row>
    <row r="394" spans="2:30" x14ac:dyDescent="0.3">
      <c r="B394" s="38" t="s">
        <v>443</v>
      </c>
      <c r="C394">
        <f t="shared" si="46"/>
        <v>5.6413145882457911</v>
      </c>
      <c r="AC394" s="38" t="s">
        <v>843</v>
      </c>
      <c r="AD394">
        <f t="shared" si="47"/>
        <v>5.5927613255140081</v>
      </c>
    </row>
    <row r="395" spans="2:30" x14ac:dyDescent="0.3">
      <c r="B395" s="38" t="s">
        <v>444</v>
      </c>
      <c r="C395">
        <f t="shared" si="46"/>
        <v>5.4794316261328211</v>
      </c>
      <c r="AC395" s="38" t="s">
        <v>844</v>
      </c>
      <c r="AD395">
        <f t="shared" si="47"/>
        <v>5.422074584394819</v>
      </c>
    </row>
    <row r="396" spans="2:30" x14ac:dyDescent="0.3">
      <c r="B396" s="38" t="s">
        <v>445</v>
      </c>
      <c r="C396">
        <f t="shared" si="46"/>
        <v>5.2823081503536748</v>
      </c>
      <c r="AC396" s="38" t="s">
        <v>845</v>
      </c>
      <c r="AD396">
        <f t="shared" si="47"/>
        <v>5.2148345412325465</v>
      </c>
    </row>
    <row r="397" spans="2:30" x14ac:dyDescent="0.3">
      <c r="B397" s="38" t="s">
        <v>446</v>
      </c>
      <c r="C397">
        <f t="shared" si="46"/>
        <v>5.0455442375004731</v>
      </c>
      <c r="AC397" s="38" t="s">
        <v>846</v>
      </c>
      <c r="AD397">
        <f t="shared" si="47"/>
        <v>4.9668632999480096</v>
      </c>
    </row>
    <row r="398" spans="2:30" x14ac:dyDescent="0.3">
      <c r="B398" s="38" t="s">
        <v>447</v>
      </c>
      <c r="C398">
        <f t="shared" si="46"/>
        <v>4.7663972351969282</v>
      </c>
      <c r="AC398" s="38" t="s">
        <v>847</v>
      </c>
      <c r="AD398">
        <f t="shared" si="47"/>
        <v>4.6759797388675208</v>
      </c>
    </row>
    <row r="399" spans="2:30" x14ac:dyDescent="0.3">
      <c r="B399" s="38" t="s">
        <v>448</v>
      </c>
      <c r="C399">
        <f t="shared" si="46"/>
        <v>4.4391969660565858</v>
      </c>
      <c r="AC399" s="38" t="s">
        <v>848</v>
      </c>
      <c r="AD399">
        <f t="shared" si="47"/>
        <v>4.3368364000152493</v>
      </c>
    </row>
    <row r="400" spans="2:30" x14ac:dyDescent="0.3">
      <c r="B400" s="38" t="s">
        <v>449</v>
      </c>
      <c r="C400">
        <f t="shared" si="46"/>
        <v>4.0612827903119673</v>
      </c>
      <c r="AC400" s="38" t="s">
        <v>849</v>
      </c>
      <c r="AD400">
        <f t="shared" si="47"/>
        <v>3.9475270731292618</v>
      </c>
    </row>
    <row r="401" spans="2:30" x14ac:dyDescent="0.3">
      <c r="B401" s="38" t="s">
        <v>450</v>
      </c>
      <c r="C401">
        <f t="shared" si="46"/>
        <v>3.6359432532937581</v>
      </c>
      <c r="AC401" s="38" t="s">
        <v>850</v>
      </c>
      <c r="AD401">
        <f t="shared" si="47"/>
        <v>3.5127334753344339</v>
      </c>
    </row>
    <row r="402" spans="2:30" x14ac:dyDescent="0.3">
      <c r="B402" s="38" t="s">
        <v>451</v>
      </c>
      <c r="C402">
        <f t="shared" si="46"/>
        <v>3.1666263187107995</v>
      </c>
      <c r="AC402" s="38" t="s">
        <v>851</v>
      </c>
      <c r="AD402">
        <f t="shared" si="47"/>
        <v>3.0371201025844128</v>
      </c>
    </row>
    <row r="403" spans="2:30" x14ac:dyDescent="0.3">
      <c r="B403" s="39" t="s">
        <v>452</v>
      </c>
      <c r="C403">
        <f t="shared" si="46"/>
        <v>2.453160281470943</v>
      </c>
      <c r="AC403" s="39" t="s">
        <v>852</v>
      </c>
      <c r="AD403">
        <f t="shared" si="47"/>
        <v>2.3225855090278444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3F8D-0CDD-4A5F-8D0D-7965704C96D7}">
  <dimension ref="A1:BB403"/>
  <sheetViews>
    <sheetView workbookViewId="0">
      <selection activeCell="C1" sqref="C1"/>
    </sheetView>
  </sheetViews>
  <sheetFormatPr defaultColWidth="8.77734375" defaultRowHeight="14.4" x14ac:dyDescent="0.3"/>
  <cols>
    <col min="2" max="2" width="18.44140625" customWidth="1"/>
    <col min="3" max="3" width="12.77734375" customWidth="1"/>
    <col min="4" max="27" width="5" customWidth="1"/>
    <col min="28" max="28" width="8.77734375" customWidth="1"/>
    <col min="29" max="29" width="17.44140625" customWidth="1"/>
    <col min="30" max="30" width="14" customWidth="1"/>
    <col min="31" max="54" width="5" customWidth="1"/>
  </cols>
  <sheetData>
    <row r="1" spans="1:54" x14ac:dyDescent="0.3">
      <c r="A1" s="1" t="s">
        <v>1260</v>
      </c>
      <c r="C1" s="1" t="s">
        <v>8</v>
      </c>
      <c r="AC1" t="s">
        <v>1261</v>
      </c>
    </row>
    <row r="2" spans="1:54" x14ac:dyDescent="0.3">
      <c r="B2" t="s">
        <v>1255</v>
      </c>
      <c r="C2" s="2" t="s">
        <v>1266</v>
      </c>
      <c r="D2" t="s">
        <v>1267</v>
      </c>
      <c r="E2" t="s">
        <v>1268</v>
      </c>
      <c r="F2" t="s">
        <v>1269</v>
      </c>
      <c r="G2" t="s">
        <v>1270</v>
      </c>
      <c r="H2" t="s">
        <v>1271</v>
      </c>
      <c r="I2" t="s">
        <v>1272</v>
      </c>
      <c r="J2" t="s">
        <v>1273</v>
      </c>
      <c r="K2" t="s">
        <v>1274</v>
      </c>
      <c r="L2" t="s">
        <v>1281</v>
      </c>
      <c r="M2" t="s">
        <v>1282</v>
      </c>
      <c r="N2" t="s">
        <v>1283</v>
      </c>
      <c r="O2" t="s">
        <v>1284</v>
      </c>
      <c r="P2" t="s">
        <v>1285</v>
      </c>
      <c r="Q2" t="s">
        <v>1286</v>
      </c>
      <c r="R2" t="s">
        <v>1287</v>
      </c>
      <c r="S2" t="s">
        <v>1288</v>
      </c>
      <c r="T2" t="s">
        <v>1289</v>
      </c>
      <c r="U2" t="s">
        <v>1290</v>
      </c>
      <c r="V2" t="s">
        <v>1275</v>
      </c>
      <c r="W2" t="s">
        <v>1276</v>
      </c>
      <c r="X2" t="s">
        <v>1277</v>
      </c>
      <c r="Y2" t="s">
        <v>1278</v>
      </c>
      <c r="Z2" t="s">
        <v>1279</v>
      </c>
      <c r="AA2" t="s">
        <v>1280</v>
      </c>
      <c r="AC2" t="s">
        <v>1254</v>
      </c>
      <c r="AD2" s="2" t="s">
        <v>1266</v>
      </c>
      <c r="AE2" t="s">
        <v>1267</v>
      </c>
      <c r="AF2" t="s">
        <v>1268</v>
      </c>
      <c r="AG2" t="s">
        <v>1269</v>
      </c>
      <c r="AH2" t="s">
        <v>1270</v>
      </c>
      <c r="AI2" t="s">
        <v>1271</v>
      </c>
      <c r="AJ2" t="s">
        <v>1272</v>
      </c>
      <c r="AK2" t="s">
        <v>1273</v>
      </c>
      <c r="AL2" t="s">
        <v>1274</v>
      </c>
      <c r="AM2" t="s">
        <v>1281</v>
      </c>
      <c r="AN2" t="s">
        <v>1282</v>
      </c>
      <c r="AO2" t="s">
        <v>1283</v>
      </c>
      <c r="AP2" t="s">
        <v>1284</v>
      </c>
      <c r="AQ2" t="s">
        <v>1285</v>
      </c>
      <c r="AR2" t="s">
        <v>1286</v>
      </c>
      <c r="AS2" t="s">
        <v>1287</v>
      </c>
      <c r="AT2" t="s">
        <v>1288</v>
      </c>
      <c r="AU2" t="s">
        <v>1289</v>
      </c>
      <c r="AV2" t="s">
        <v>1290</v>
      </c>
      <c r="AW2" t="s">
        <v>1275</v>
      </c>
      <c r="AX2" t="s">
        <v>1276</v>
      </c>
      <c r="AY2" t="s">
        <v>1277</v>
      </c>
      <c r="AZ2" t="s">
        <v>1278</v>
      </c>
      <c r="BA2" t="s">
        <v>1279</v>
      </c>
      <c r="BB2" t="s">
        <v>1280</v>
      </c>
    </row>
    <row r="3" spans="1:54" x14ac:dyDescent="0.3">
      <c r="C3">
        <v>2025</v>
      </c>
      <c r="D3">
        <v>2026</v>
      </c>
      <c r="E3">
        <v>2027</v>
      </c>
      <c r="F3">
        <v>2028</v>
      </c>
      <c r="G3">
        <v>2029</v>
      </c>
      <c r="H3">
        <v>2030</v>
      </c>
      <c r="I3">
        <v>2031</v>
      </c>
      <c r="J3">
        <v>2032</v>
      </c>
      <c r="K3">
        <v>2033</v>
      </c>
      <c r="L3">
        <v>2034</v>
      </c>
      <c r="M3">
        <v>2035</v>
      </c>
      <c r="N3">
        <v>2036</v>
      </c>
      <c r="O3">
        <v>2037</v>
      </c>
      <c r="P3">
        <v>2038</v>
      </c>
      <c r="Q3">
        <v>2039</v>
      </c>
      <c r="R3">
        <v>2040</v>
      </c>
      <c r="S3">
        <v>2041</v>
      </c>
      <c r="T3">
        <v>2042</v>
      </c>
      <c r="U3">
        <v>2043</v>
      </c>
      <c r="V3">
        <v>2044</v>
      </c>
      <c r="W3">
        <v>2045</v>
      </c>
      <c r="X3">
        <v>2046</v>
      </c>
      <c r="Y3">
        <v>2047</v>
      </c>
      <c r="Z3">
        <v>2048</v>
      </c>
      <c r="AA3">
        <v>2049</v>
      </c>
      <c r="AD3">
        <v>2025</v>
      </c>
      <c r="AE3">
        <v>2026</v>
      </c>
      <c r="AF3">
        <v>2027</v>
      </c>
      <c r="AG3">
        <v>2028</v>
      </c>
      <c r="AH3">
        <v>2029</v>
      </c>
      <c r="AI3">
        <v>2030</v>
      </c>
      <c r="AJ3">
        <v>2031</v>
      </c>
      <c r="AK3">
        <v>2032</v>
      </c>
      <c r="AL3">
        <v>2033</v>
      </c>
      <c r="AM3">
        <v>2034</v>
      </c>
      <c r="AN3">
        <v>2035</v>
      </c>
      <c r="AO3">
        <v>2036</v>
      </c>
      <c r="AP3">
        <v>2037</v>
      </c>
      <c r="AQ3">
        <v>2038</v>
      </c>
      <c r="AR3">
        <v>2039</v>
      </c>
      <c r="AS3">
        <v>2040</v>
      </c>
      <c r="AT3">
        <v>2041</v>
      </c>
      <c r="AU3">
        <v>2042</v>
      </c>
      <c r="AV3">
        <v>2043</v>
      </c>
      <c r="AW3">
        <v>2044</v>
      </c>
      <c r="AX3">
        <v>2045</v>
      </c>
      <c r="AY3">
        <v>2046</v>
      </c>
      <c r="AZ3">
        <v>2047</v>
      </c>
      <c r="BA3">
        <v>2048</v>
      </c>
      <c r="BB3">
        <v>2049</v>
      </c>
    </row>
    <row r="4" spans="1:54" x14ac:dyDescent="0.3">
      <c r="B4" s="37" t="s">
        <v>53</v>
      </c>
      <c r="C4">
        <v>19.450538776278364</v>
      </c>
      <c r="D4">
        <v>19.461962153414429</v>
      </c>
      <c r="E4">
        <v>19.473411151853089</v>
      </c>
      <c r="F4">
        <v>19.484885930572133</v>
      </c>
      <c r="G4">
        <v>19.494302074660361</v>
      </c>
      <c r="H4">
        <v>19.50373966303048</v>
      </c>
      <c r="I4">
        <v>19.51319883773585</v>
      </c>
      <c r="J4">
        <v>19.522679742225368</v>
      </c>
      <c r="K4">
        <v>19.532182521359658</v>
      </c>
      <c r="L4">
        <v>19.540353909120203</v>
      </c>
      <c r="M4">
        <v>19.548544591250518</v>
      </c>
      <c r="N4">
        <v>19.55675470186884</v>
      </c>
      <c r="O4">
        <v>19.564984376437497</v>
      </c>
      <c r="P4">
        <v>19.573233751778691</v>
      </c>
      <c r="Q4">
        <v>19.580611930338861</v>
      </c>
      <c r="R4">
        <v>19.588008785752031</v>
      </c>
      <c r="S4">
        <v>19.595424457196621</v>
      </c>
      <c r="T4">
        <v>19.602859085321228</v>
      </c>
      <c r="U4">
        <v>19.610312812262737</v>
      </c>
      <c r="V4">
        <v>19.617171759958474</v>
      </c>
      <c r="W4">
        <v>19.624049178296879</v>
      </c>
      <c r="X4">
        <v>19.630945212408246</v>
      </c>
      <c r="Y4">
        <v>19.637860009029929</v>
      </c>
      <c r="Z4">
        <v>19.644793716527019</v>
      </c>
      <c r="AA4">
        <v>19.651228453402357</v>
      </c>
      <c r="AC4" s="37" t="s">
        <v>453</v>
      </c>
      <c r="AD4">
        <v>19.363233951886777</v>
      </c>
      <c r="AE4">
        <v>19.375913135073702</v>
      </c>
      <c r="AF4">
        <v>19.388622600891036</v>
      </c>
      <c r="AG4">
        <v>19.401362548474808</v>
      </c>
      <c r="AH4">
        <v>19.411781318136715</v>
      </c>
      <c r="AI4">
        <v>19.422225139017584</v>
      </c>
      <c r="AJ4">
        <v>19.432694187104861</v>
      </c>
      <c r="AK4">
        <v>19.443188640257329</v>
      </c>
      <c r="AL4">
        <v>19.45370867822896</v>
      </c>
      <c r="AM4">
        <v>19.462728617737106</v>
      </c>
      <c r="AN4">
        <v>19.471770939622701</v>
      </c>
      <c r="AO4">
        <v>19.480835809300636</v>
      </c>
      <c r="AP4">
        <v>19.489923393985656</v>
      </c>
      <c r="AQ4">
        <v>19.499033862715585</v>
      </c>
      <c r="AR4">
        <v>19.507158449355821</v>
      </c>
      <c r="AS4">
        <v>19.515304567647249</v>
      </c>
      <c r="AT4">
        <v>19.523472388334728</v>
      </c>
      <c r="AU4">
        <v>19.531662084123123</v>
      </c>
      <c r="AV4">
        <v>19.539873829703893</v>
      </c>
      <c r="AW4">
        <v>19.547412857471492</v>
      </c>
      <c r="AX4">
        <v>19.554973095319969</v>
      </c>
      <c r="AY4">
        <v>19.562554720535054</v>
      </c>
      <c r="AZ4">
        <v>19.570157912534846</v>
      </c>
      <c r="BA4">
        <v>19.577782852899968</v>
      </c>
      <c r="BB4">
        <v>19.58484740764969</v>
      </c>
    </row>
    <row r="5" spans="1:54" x14ac:dyDescent="0.3">
      <c r="B5" s="38" t="s">
        <v>54</v>
      </c>
      <c r="C5">
        <v>19.288409294583591</v>
      </c>
      <c r="D5">
        <v>19.29893704640709</v>
      </c>
      <c r="E5">
        <v>19.309493278037962</v>
      </c>
      <c r="F5">
        <v>19.320078176951132</v>
      </c>
      <c r="G5">
        <v>19.328983768094069</v>
      </c>
      <c r="H5">
        <v>19.33791404438718</v>
      </c>
      <c r="I5">
        <v>19.346869177188999</v>
      </c>
      <c r="J5">
        <v>19.355849339549081</v>
      </c>
      <c r="K5">
        <v>19.364854706227575</v>
      </c>
      <c r="L5">
        <v>19.372776522956634</v>
      </c>
      <c r="M5">
        <v>19.380721078208424</v>
      </c>
      <c r="N5">
        <v>19.38868853594186</v>
      </c>
      <c r="O5">
        <v>19.396679061763088</v>
      </c>
      <c r="P5">
        <v>19.4046928229447</v>
      </c>
      <c r="Q5">
        <v>19.412033137707226</v>
      </c>
      <c r="R5">
        <v>19.419395870586683</v>
      </c>
      <c r="S5">
        <v>19.426781193449571</v>
      </c>
      <c r="T5">
        <v>19.434189279980554</v>
      </c>
      <c r="U5">
        <v>19.441620305704816</v>
      </c>
      <c r="V5">
        <v>19.448616832620999</v>
      </c>
      <c r="W5">
        <v>19.455635809359951</v>
      </c>
      <c r="X5">
        <v>19.46267741634491</v>
      </c>
      <c r="Y5">
        <v>19.469741835999223</v>
      </c>
      <c r="Z5">
        <v>19.476829252772053</v>
      </c>
      <c r="AA5">
        <v>19.483538916497928</v>
      </c>
      <c r="AC5" s="38" t="s">
        <v>454</v>
      </c>
      <c r="AD5">
        <v>19.194227611308126</v>
      </c>
      <c r="AE5">
        <v>19.205819689837739</v>
      </c>
      <c r="AF5">
        <v>19.217445114161045</v>
      </c>
      <c r="AG5">
        <v>19.229104117851865</v>
      </c>
      <c r="AH5">
        <v>19.2388748562947</v>
      </c>
      <c r="AI5">
        <v>19.248674206726633</v>
      </c>
      <c r="AJ5">
        <v>19.258502380651979</v>
      </c>
      <c r="AK5">
        <v>19.268359591837303</v>
      </c>
      <c r="AL5">
        <v>19.278246056340265</v>
      </c>
      <c r="AM5">
        <v>19.286915873817346</v>
      </c>
      <c r="AN5">
        <v>19.295611901549169</v>
      </c>
      <c r="AO5">
        <v>19.304334341209444</v>
      </c>
      <c r="AP5">
        <v>19.313083396673903</v>
      </c>
      <c r="AQ5">
        <v>19.321859274048755</v>
      </c>
      <c r="AR5">
        <v>19.329874100460824</v>
      </c>
      <c r="AS5">
        <v>19.337914640084676</v>
      </c>
      <c r="AT5">
        <v>19.34598110334181</v>
      </c>
      <c r="AU5">
        <v>19.354073703074722</v>
      </c>
      <c r="AV5">
        <v>19.362192654579662</v>
      </c>
      <c r="AW5">
        <v>19.369821287842782</v>
      </c>
      <c r="AX5">
        <v>19.377475593781615</v>
      </c>
      <c r="AY5">
        <v>19.385155792440038</v>
      </c>
      <c r="AZ5">
        <v>19.392862106513221</v>
      </c>
      <c r="BA5">
        <v>19.400594761385126</v>
      </c>
      <c r="BB5">
        <v>19.407906199426687</v>
      </c>
    </row>
    <row r="6" spans="1:54" x14ac:dyDescent="0.3">
      <c r="B6" s="38" t="s">
        <v>55</v>
      </c>
      <c r="C6">
        <v>19.012866883802168</v>
      </c>
      <c r="D6">
        <v>19.024660795666712</v>
      </c>
      <c r="E6">
        <v>19.036489243407775</v>
      </c>
      <c r="F6">
        <v>19.048352458778037</v>
      </c>
      <c r="G6">
        <v>19.058460550951128</v>
      </c>
      <c r="H6">
        <v>19.068598980413807</v>
      </c>
      <c r="I6">
        <v>19.078767960950746</v>
      </c>
      <c r="J6">
        <v>19.088967708459013</v>
      </c>
      <c r="K6">
        <v>19.099198440972497</v>
      </c>
      <c r="L6">
        <v>19.108293025307152</v>
      </c>
      <c r="M6">
        <v>19.117415795173105</v>
      </c>
      <c r="N6">
        <v>19.126566956214184</v>
      </c>
      <c r="O6">
        <v>19.135746716141711</v>
      </c>
      <c r="P6">
        <v>19.144955284758389</v>
      </c>
      <c r="Q6">
        <v>19.153473207552064</v>
      </c>
      <c r="R6">
        <v>19.162019097857538</v>
      </c>
      <c r="S6">
        <v>19.170593172085542</v>
      </c>
      <c r="T6">
        <v>19.179195648937128</v>
      </c>
      <c r="U6">
        <v>19.187826749431725</v>
      </c>
      <c r="V6">
        <v>19.196023368265223</v>
      </c>
      <c r="W6">
        <v>19.204248112091829</v>
      </c>
      <c r="X6">
        <v>19.212501208676692</v>
      </c>
      <c r="Y6">
        <v>19.220782888310662</v>
      </c>
      <c r="Z6">
        <v>19.229093383842798</v>
      </c>
      <c r="AA6">
        <v>19.237017198504972</v>
      </c>
      <c r="AC6" s="38" t="s">
        <v>455</v>
      </c>
      <c r="AD6">
        <v>18.900595386038315</v>
      </c>
      <c r="AE6">
        <v>18.91353148492794</v>
      </c>
      <c r="AF6">
        <v>18.926507879866076</v>
      </c>
      <c r="AG6">
        <v>18.939524858995362</v>
      </c>
      <c r="AH6">
        <v>18.950571235828242</v>
      </c>
      <c r="AI6">
        <v>18.961652677490818</v>
      </c>
      <c r="AJ6">
        <v>18.972769447479234</v>
      </c>
      <c r="AK6">
        <v>18.983921812113103</v>
      </c>
      <c r="AL6">
        <v>18.995110040571451</v>
      </c>
      <c r="AM6">
        <v>19.005024924654553</v>
      </c>
      <c r="AN6">
        <v>19.014972224792789</v>
      </c>
      <c r="AO6">
        <v>19.024952193674082</v>
      </c>
      <c r="AP6">
        <v>19.034965086748375</v>
      </c>
      <c r="AQ6">
        <v>19.045011162263055</v>
      </c>
      <c r="AR6">
        <v>19.054277218046824</v>
      </c>
      <c r="AS6">
        <v>19.063575294306617</v>
      </c>
      <c r="AT6">
        <v>19.072905655795992</v>
      </c>
      <c r="AU6">
        <v>19.082268570316739</v>
      </c>
      <c r="AV6">
        <v>19.091664308760134</v>
      </c>
      <c r="AW6">
        <v>19.10057032921528</v>
      </c>
      <c r="AX6">
        <v>19.109508464155077</v>
      </c>
      <c r="AY6">
        <v>19.118478991186958</v>
      </c>
      <c r="AZ6">
        <v>19.127482191265166</v>
      </c>
      <c r="BA6">
        <v>19.136518348738164</v>
      </c>
      <c r="BB6">
        <v>19.14512510550081</v>
      </c>
    </row>
    <row r="7" spans="1:54" x14ac:dyDescent="0.3">
      <c r="B7" s="38" t="s">
        <v>56</v>
      </c>
      <c r="C7">
        <v>18.666451787684696</v>
      </c>
      <c r="D7">
        <v>18.679930500951496</v>
      </c>
      <c r="E7">
        <v>18.693451262360838</v>
      </c>
      <c r="F7">
        <v>18.707014358681558</v>
      </c>
      <c r="G7">
        <v>18.718710598902735</v>
      </c>
      <c r="H7">
        <v>18.730444238656098</v>
      </c>
      <c r="I7">
        <v>18.742215544849412</v>
      </c>
      <c r="J7">
        <v>18.754024787030328</v>
      </c>
      <c r="K7">
        <v>18.765872237416851</v>
      </c>
      <c r="L7">
        <v>18.77650477400811</v>
      </c>
      <c r="M7">
        <v>18.787172330773309</v>
      </c>
      <c r="N7">
        <v>18.797875165780649</v>
      </c>
      <c r="O7">
        <v>18.80861353969394</v>
      </c>
      <c r="P7">
        <v>18.8193877158029</v>
      </c>
      <c r="Q7">
        <v>18.829438750256756</v>
      </c>
      <c r="R7">
        <v>18.839524735800417</v>
      </c>
      <c r="S7">
        <v>18.849645945041079</v>
      </c>
      <c r="T7">
        <v>18.859802653471881</v>
      </c>
      <c r="U7">
        <v>18.869995139507033</v>
      </c>
      <c r="V7">
        <v>18.879738261626724</v>
      </c>
      <c r="W7">
        <v>18.889516657416348</v>
      </c>
      <c r="X7">
        <v>18.899330614454147</v>
      </c>
      <c r="Y7">
        <v>18.909180423508232</v>
      </c>
      <c r="Z7">
        <v>18.919066378577398</v>
      </c>
      <c r="AA7">
        <v>18.928539406260295</v>
      </c>
      <c r="AC7" s="38" t="s">
        <v>456</v>
      </c>
      <c r="AD7">
        <v>18.531702952647471</v>
      </c>
      <c r="AE7">
        <v>18.546435679950534</v>
      </c>
      <c r="AF7">
        <v>18.561217314091671</v>
      </c>
      <c r="AG7">
        <v>18.576048210929105</v>
      </c>
      <c r="AH7">
        <v>18.588785753249216</v>
      </c>
      <c r="AI7">
        <v>18.601566415354785</v>
      </c>
      <c r="AJ7">
        <v>18.614390525787165</v>
      </c>
      <c r="AK7">
        <v>18.627258416613294</v>
      </c>
      <c r="AL7">
        <v>18.64017042347049</v>
      </c>
      <c r="AM7">
        <v>18.651723100599735</v>
      </c>
      <c r="AN7">
        <v>18.663315974357584</v>
      </c>
      <c r="AO7">
        <v>18.674949361550915</v>
      </c>
      <c r="AP7">
        <v>18.686623582452373</v>
      </c>
      <c r="AQ7">
        <v>18.698338960844787</v>
      </c>
      <c r="AR7">
        <v>18.709237870327264</v>
      </c>
      <c r="AS7">
        <v>18.720176732117519</v>
      </c>
      <c r="AT7">
        <v>18.731155879483559</v>
      </c>
      <c r="AU7">
        <v>18.742175649532729</v>
      </c>
      <c r="AV7">
        <v>18.753236383263399</v>
      </c>
      <c r="AW7">
        <v>18.763791076048406</v>
      </c>
      <c r="AX7">
        <v>18.774385991888096</v>
      </c>
      <c r="AY7">
        <v>18.785021481088435</v>
      </c>
      <c r="AZ7">
        <v>18.795697898180798</v>
      </c>
      <c r="BA7">
        <v>18.806415601981669</v>
      </c>
      <c r="BB7">
        <v>18.816676469030096</v>
      </c>
    </row>
    <row r="8" spans="1:54" x14ac:dyDescent="0.3">
      <c r="B8" s="38" t="s">
        <v>57</v>
      </c>
      <c r="C8">
        <v>18.257282702119582</v>
      </c>
      <c r="D8">
        <v>18.272360456379943</v>
      </c>
      <c r="E8">
        <v>18.287488740044171</v>
      </c>
      <c r="F8">
        <v>18.302667904212687</v>
      </c>
      <c r="G8">
        <v>18.31597087091188</v>
      </c>
      <c r="H8">
        <v>18.32931950876559</v>
      </c>
      <c r="I8">
        <v>18.342714148502168</v>
      </c>
      <c r="J8">
        <v>18.35615512412409</v>
      </c>
      <c r="K8">
        <v>18.369642772945742</v>
      </c>
      <c r="L8">
        <v>18.381898816031612</v>
      </c>
      <c r="M8">
        <v>18.394198053906347</v>
      </c>
      <c r="N8">
        <v>18.406540808571119</v>
      </c>
      <c r="O8">
        <v>18.418927405266995</v>
      </c>
      <c r="P8">
        <v>18.431358172512525</v>
      </c>
      <c r="Q8">
        <v>18.443078389882146</v>
      </c>
      <c r="R8">
        <v>18.454842032776739</v>
      </c>
      <c r="S8">
        <v>18.466649443068157</v>
      </c>
      <c r="T8">
        <v>18.478500966248212</v>
      </c>
      <c r="U8">
        <v>18.49039695147264</v>
      </c>
      <c r="V8">
        <v>18.501849581525917</v>
      </c>
      <c r="W8">
        <v>18.513346223323129</v>
      </c>
      <c r="X8">
        <v>18.524887238575754</v>
      </c>
      <c r="Y8">
        <v>18.536472993008257</v>
      </c>
      <c r="Z8">
        <v>18.548103856409551</v>
      </c>
      <c r="AA8">
        <v>18.559301570338299</v>
      </c>
      <c r="AC8" s="38" t="s">
        <v>457</v>
      </c>
      <c r="AD8">
        <v>18.098060605069254</v>
      </c>
      <c r="AE8">
        <v>18.114468708323447</v>
      </c>
      <c r="AF8">
        <v>18.130935351864046</v>
      </c>
      <c r="AG8">
        <v>18.147460970301061</v>
      </c>
      <c r="AH8">
        <v>18.161886142501285</v>
      </c>
      <c r="AI8">
        <v>18.176363809818049</v>
      </c>
      <c r="AJ8">
        <v>18.190894378671977</v>
      </c>
      <c r="AK8">
        <v>18.205478259851574</v>
      </c>
      <c r="AL8">
        <v>18.220115868568662</v>
      </c>
      <c r="AM8">
        <v>18.233378553949112</v>
      </c>
      <c r="AN8">
        <v>18.246690699088141</v>
      </c>
      <c r="AO8">
        <v>18.260052698808863</v>
      </c>
      <c r="AP8">
        <v>18.273464952257225</v>
      </c>
      <c r="AQ8">
        <v>18.286927862957327</v>
      </c>
      <c r="AR8">
        <v>18.299588524091988</v>
      </c>
      <c r="AS8">
        <v>18.312298728589216</v>
      </c>
      <c r="AT8">
        <v>18.325058894026071</v>
      </c>
      <c r="AU8">
        <v>18.337869442792975</v>
      </c>
      <c r="AV8">
        <v>18.35073080215847</v>
      </c>
      <c r="AW8">
        <v>18.363093303806444</v>
      </c>
      <c r="AX8">
        <v>18.375505909693334</v>
      </c>
      <c r="AY8">
        <v>18.387969060105632</v>
      </c>
      <c r="AZ8">
        <v>18.400483200643546</v>
      </c>
      <c r="BA8">
        <v>18.413048782296045</v>
      </c>
      <c r="BB8">
        <v>18.425137319514427</v>
      </c>
    </row>
    <row r="9" spans="1:54" x14ac:dyDescent="0.3">
      <c r="B9" s="38" t="s">
        <v>58</v>
      </c>
      <c r="C9">
        <v>17.763547894261691</v>
      </c>
      <c r="D9">
        <v>17.780274552335779</v>
      </c>
      <c r="E9">
        <v>17.797061516443314</v>
      </c>
      <c r="F9">
        <v>17.813909213297102</v>
      </c>
      <c r="G9">
        <v>17.828949845985978</v>
      </c>
      <c r="H9">
        <v>17.844045953758734</v>
      </c>
      <c r="I9">
        <v>17.859197944147475</v>
      </c>
      <c r="J9">
        <v>17.874406228720993</v>
      </c>
      <c r="K9">
        <v>17.88967122313122</v>
      </c>
      <c r="L9">
        <v>17.903734647016204</v>
      </c>
      <c r="M9">
        <v>17.917851108778475</v>
      </c>
      <c r="N9">
        <v>17.932021008381842</v>
      </c>
      <c r="O9">
        <v>17.946244749814738</v>
      </c>
      <c r="P9">
        <v>17.960522741136856</v>
      </c>
      <c r="Q9">
        <v>17.974143694945521</v>
      </c>
      <c r="R9">
        <v>17.987818400329072</v>
      </c>
      <c r="S9">
        <v>18.001547284481145</v>
      </c>
      <c r="T9">
        <v>18.015330779118699</v>
      </c>
      <c r="U9">
        <v>18.029169320537054</v>
      </c>
      <c r="V9">
        <v>18.042587006298923</v>
      </c>
      <c r="W9">
        <v>18.056059412705913</v>
      </c>
      <c r="X9">
        <v>18.069586993262007</v>
      </c>
      <c r="Y9">
        <v>18.083170206503031</v>
      </c>
      <c r="Z9">
        <v>18.096809516061022</v>
      </c>
      <c r="AA9">
        <v>18.109992750448448</v>
      </c>
      <c r="AC9" s="38" t="s">
        <v>458</v>
      </c>
      <c r="AD9">
        <v>17.576596817523846</v>
      </c>
      <c r="AE9">
        <v>17.59470774257975</v>
      </c>
      <c r="AF9">
        <v>17.612888236345331</v>
      </c>
      <c r="AG9">
        <v>17.631138825558288</v>
      </c>
      <c r="AH9">
        <v>17.647370104432195</v>
      </c>
      <c r="AI9">
        <v>17.66366493686213</v>
      </c>
      <c r="AJ9">
        <v>17.680023822709767</v>
      </c>
      <c r="AK9">
        <v>17.6964472672155</v>
      </c>
      <c r="AL9">
        <v>17.712935781066399</v>
      </c>
      <c r="AM9">
        <v>17.728086627841275</v>
      </c>
      <c r="AN9">
        <v>17.743298046995381</v>
      </c>
      <c r="AO9">
        <v>17.758570528288942</v>
      </c>
      <c r="AP9">
        <v>17.773904566847705</v>
      </c>
      <c r="AQ9">
        <v>17.789300663231515</v>
      </c>
      <c r="AR9">
        <v>17.803954430119191</v>
      </c>
      <c r="AS9">
        <v>17.81866939311308</v>
      </c>
      <c r="AT9">
        <v>17.833446073485757</v>
      </c>
      <c r="AU9">
        <v>17.848284998521144</v>
      </c>
      <c r="AV9">
        <v>17.863186701595183</v>
      </c>
      <c r="AW9">
        <v>17.877615138556266</v>
      </c>
      <c r="AX9">
        <v>17.892105758398518</v>
      </c>
      <c r="AY9">
        <v>17.906659112677847</v>
      </c>
      <c r="AZ9">
        <v>17.921275759610012</v>
      </c>
      <c r="BA9">
        <v>17.935956264164634</v>
      </c>
      <c r="BB9">
        <v>17.950136927458264</v>
      </c>
    </row>
    <row r="10" spans="1:54" x14ac:dyDescent="0.3">
      <c r="B10" s="38" t="s">
        <v>59</v>
      </c>
      <c r="C10">
        <v>17.15485514257032</v>
      </c>
      <c r="D10">
        <v>17.173517870753237</v>
      </c>
      <c r="E10">
        <v>17.192252442023495</v>
      </c>
      <c r="F10">
        <v>17.211059372873773</v>
      </c>
      <c r="G10">
        <v>17.228152936872252</v>
      </c>
      <c r="H10">
        <v>17.245313734857483</v>
      </c>
      <c r="I10">
        <v>17.262542267139228</v>
      </c>
      <c r="J10">
        <v>17.279839038983152</v>
      </c>
      <c r="K10">
        <v>17.297204560667574</v>
      </c>
      <c r="L10">
        <v>17.313402948031822</v>
      </c>
      <c r="M10">
        <v>17.32966627917482</v>
      </c>
      <c r="N10">
        <v>17.345995049093027</v>
      </c>
      <c r="O10">
        <v>17.362389757762294</v>
      </c>
      <c r="P10">
        <v>17.378850910195247</v>
      </c>
      <c r="Q10">
        <v>17.394729978452009</v>
      </c>
      <c r="R10">
        <v>17.410675390032019</v>
      </c>
      <c r="S10">
        <v>17.42668767699584</v>
      </c>
      <c r="T10">
        <v>17.44276737703623</v>
      </c>
      <c r="U10">
        <v>17.458915033546319</v>
      </c>
      <c r="V10">
        <v>17.474678519640754</v>
      </c>
      <c r="W10">
        <v>17.490509851977077</v>
      </c>
      <c r="X10">
        <v>17.50640959746443</v>
      </c>
      <c r="Y10">
        <v>17.522378329301528</v>
      </c>
      <c r="Z10">
        <v>17.538416627056847</v>
      </c>
      <c r="AA10">
        <v>17.553968999466814</v>
      </c>
      <c r="AC10" s="38" t="s">
        <v>459</v>
      </c>
      <c r="AD10">
        <v>16.934938442810136</v>
      </c>
      <c r="AE10">
        <v>16.955042272109228</v>
      </c>
      <c r="AF10">
        <v>16.97522862799665</v>
      </c>
      <c r="AG10">
        <v>16.995498146208615</v>
      </c>
      <c r="AH10">
        <v>17.013856347105587</v>
      </c>
      <c r="AI10">
        <v>17.032291319651868</v>
      </c>
      <c r="AJ10">
        <v>17.050803676302511</v>
      </c>
      <c r="AK10">
        <v>17.069394036107415</v>
      </c>
      <c r="AL10">
        <v>17.08806302479455</v>
      </c>
      <c r="AM10">
        <v>17.10543641879439</v>
      </c>
      <c r="AN10">
        <v>17.122883786261074</v>
      </c>
      <c r="AO10">
        <v>17.14040573245402</v>
      </c>
      <c r="AP10">
        <v>17.158002869265083</v>
      </c>
      <c r="AQ10">
        <v>17.175675815303098</v>
      </c>
      <c r="AR10">
        <v>17.192689727145126</v>
      </c>
      <c r="AS10">
        <v>17.209779007725452</v>
      </c>
      <c r="AT10">
        <v>17.226944305571141</v>
      </c>
      <c r="AU10">
        <v>17.244186276689632</v>
      </c>
      <c r="AV10">
        <v>17.261505584668864</v>
      </c>
      <c r="AW10">
        <v>17.278392853706318</v>
      </c>
      <c r="AX10">
        <v>17.295357075116311</v>
      </c>
      <c r="AY10">
        <v>17.312398937738905</v>
      </c>
      <c r="AZ10">
        <v>17.329519138734543</v>
      </c>
      <c r="BA10">
        <v>17.346718383701155</v>
      </c>
      <c r="BB10">
        <v>17.363387692731227</v>
      </c>
    </row>
    <row r="11" spans="1:54" x14ac:dyDescent="0.3">
      <c r="B11" s="38" t="s">
        <v>60</v>
      </c>
      <c r="C11">
        <v>16.42113181727564</v>
      </c>
      <c r="D11">
        <v>16.44180293086642</v>
      </c>
      <c r="E11">
        <v>16.462558800714145</v>
      </c>
      <c r="F11">
        <v>16.483400045339096</v>
      </c>
      <c r="G11">
        <v>16.502700221584245</v>
      </c>
      <c r="H11">
        <v>16.522081187012414</v>
      </c>
      <c r="I11">
        <v>16.541543550346997</v>
      </c>
      <c r="J11">
        <v>16.561087926336985</v>
      </c>
      <c r="K11">
        <v>16.58071493582564</v>
      </c>
      <c r="L11">
        <v>16.599236640085827</v>
      </c>
      <c r="M11">
        <v>16.617837206673563</v>
      </c>
      <c r="N11">
        <v>16.636517243143928</v>
      </c>
      <c r="O11">
        <v>16.655277363157658</v>
      </c>
      <c r="P11">
        <v>16.674118186551542</v>
      </c>
      <c r="Q11">
        <v>16.692471462395538</v>
      </c>
      <c r="R11">
        <v>16.710905942578766</v>
      </c>
      <c r="S11">
        <v>16.729422284610646</v>
      </c>
      <c r="T11">
        <v>16.748021152955261</v>
      </c>
      <c r="U11">
        <v>16.766703219115463</v>
      </c>
      <c r="V11">
        <v>16.785058888397721</v>
      </c>
      <c r="W11">
        <v>16.80349799946795</v>
      </c>
      <c r="X11">
        <v>16.822021255855574</v>
      </c>
      <c r="Y11">
        <v>16.840629368891779</v>
      </c>
      <c r="Z11">
        <v>16.859323057808641</v>
      </c>
      <c r="AA11">
        <v>16.877514544321905</v>
      </c>
      <c r="AC11" s="38" t="s">
        <v>460</v>
      </c>
      <c r="AD11">
        <v>16.164055636105196</v>
      </c>
      <c r="AE11">
        <v>16.186197560562505</v>
      </c>
      <c r="AF11">
        <v>16.208436393536502</v>
      </c>
      <c r="AG11">
        <v>16.230772893871709</v>
      </c>
      <c r="AH11">
        <v>16.251392797498539</v>
      </c>
      <c r="AI11">
        <v>16.272104616421352</v>
      </c>
      <c r="AJ11">
        <v>16.292909094121192</v>
      </c>
      <c r="AK11">
        <v>16.313806982085286</v>
      </c>
      <c r="AL11">
        <v>16.334799039907708</v>
      </c>
      <c r="AM11">
        <v>16.354567785326935</v>
      </c>
      <c r="AN11">
        <v>16.374426089268663</v>
      </c>
      <c r="AO11">
        <v>16.394374693353534</v>
      </c>
      <c r="AP11">
        <v>16.414414347326421</v>
      </c>
      <c r="AQ11">
        <v>16.434545809159658</v>
      </c>
      <c r="AR11">
        <v>16.454122308985703</v>
      </c>
      <c r="AS11">
        <v>16.473790825332689</v>
      </c>
      <c r="AT11">
        <v>16.493552158542066</v>
      </c>
      <c r="AU11">
        <v>16.513407118185015</v>
      </c>
      <c r="AV11">
        <v>16.533356523185631</v>
      </c>
      <c r="AW11">
        <v>16.552938228923935</v>
      </c>
      <c r="AX11">
        <v>16.572614358006426</v>
      </c>
      <c r="AY11">
        <v>16.592385764245858</v>
      </c>
      <c r="AZ11">
        <v>16.612253311769066</v>
      </c>
      <c r="BA11">
        <v>16.632217875161817</v>
      </c>
      <c r="BB11">
        <v>16.651638166844503</v>
      </c>
    </row>
    <row r="12" spans="1:54" x14ac:dyDescent="0.3">
      <c r="B12" s="38" t="s">
        <v>61</v>
      </c>
      <c r="C12">
        <v>15.546253708828889</v>
      </c>
      <c r="D12">
        <v>15.568924201615829</v>
      </c>
      <c r="E12">
        <v>15.591693461437297</v>
      </c>
      <c r="F12">
        <v>15.614562218843398</v>
      </c>
      <c r="G12">
        <v>15.63615086334905</v>
      </c>
      <c r="H12">
        <v>15.657835491693804</v>
      </c>
      <c r="I12">
        <v>15.679616835579138</v>
      </c>
      <c r="J12">
        <v>15.70149563393586</v>
      </c>
      <c r="K12">
        <v>15.723472633006004</v>
      </c>
      <c r="L12">
        <v>15.744452459822469</v>
      </c>
      <c r="M12">
        <v>15.765527030526219</v>
      </c>
      <c r="N12">
        <v>15.786697082612186</v>
      </c>
      <c r="O12">
        <v>15.807963360972051</v>
      </c>
      <c r="P12">
        <v>15.829326617978802</v>
      </c>
      <c r="Q12">
        <v>15.850309865193658</v>
      </c>
      <c r="R12">
        <v>15.871391437709251</v>
      </c>
      <c r="S12">
        <v>15.892572139469076</v>
      </c>
      <c r="T12">
        <v>15.913852782906146</v>
      </c>
      <c r="U12">
        <v>15.935234189045104</v>
      </c>
      <c r="V12">
        <v>15.956340306232898</v>
      </c>
      <c r="W12">
        <v>15.97754789604573</v>
      </c>
      <c r="X12">
        <v>15.99885782236497</v>
      </c>
      <c r="Y12">
        <v>16.020270958641067</v>
      </c>
      <c r="Z12">
        <v>16.0417881880145</v>
      </c>
      <c r="AA12">
        <v>16.06279403908659</v>
      </c>
      <c r="AC12" s="38" t="s">
        <v>461</v>
      </c>
      <c r="AD12">
        <v>15.248488824683491</v>
      </c>
      <c r="AE12">
        <v>15.272621377530511</v>
      </c>
      <c r="AF12">
        <v>15.296866285478117</v>
      </c>
      <c r="AG12">
        <v>15.321224441512301</v>
      </c>
      <c r="AH12">
        <v>15.344157555339304</v>
      </c>
      <c r="AI12">
        <v>15.367199432671798</v>
      </c>
      <c r="AJ12">
        <v>15.390350964843329</v>
      </c>
      <c r="AK12">
        <v>15.413613052776221</v>
      </c>
      <c r="AL12">
        <v>15.436986607101391</v>
      </c>
      <c r="AM12">
        <v>15.459259911310296</v>
      </c>
      <c r="AN12">
        <v>15.481640446746319</v>
      </c>
      <c r="AO12">
        <v>15.504129111820646</v>
      </c>
      <c r="AP12">
        <v>15.526726814774261</v>
      </c>
      <c r="AQ12">
        <v>15.549434473802032</v>
      </c>
      <c r="AR12">
        <v>15.571704029747645</v>
      </c>
      <c r="AS12">
        <v>15.594084670223786</v>
      </c>
      <c r="AT12">
        <v>15.616577372159009</v>
      </c>
      <c r="AU12">
        <v>15.639183123737626</v>
      </c>
      <c r="AV12">
        <v>15.661902924549452</v>
      </c>
      <c r="AW12">
        <v>15.684310909573238</v>
      </c>
      <c r="AX12">
        <v>15.706833397702193</v>
      </c>
      <c r="AY12">
        <v>15.729471435698233</v>
      </c>
      <c r="AZ12">
        <v>15.752226082962876</v>
      </c>
      <c r="BA12">
        <v>15.775098411713955</v>
      </c>
      <c r="BB12">
        <v>15.797420485456421</v>
      </c>
    </row>
    <row r="13" spans="1:54" x14ac:dyDescent="0.3">
      <c r="B13" s="38" t="s">
        <v>62</v>
      </c>
      <c r="C13">
        <v>14.511402278813158</v>
      </c>
      <c r="D13">
        <v>14.536136796203465</v>
      </c>
      <c r="E13">
        <v>14.560985007750411</v>
      </c>
      <c r="F13">
        <v>14.58594776366655</v>
      </c>
      <c r="G13">
        <v>14.609931756497851</v>
      </c>
      <c r="H13">
        <v>14.634028353813338</v>
      </c>
      <c r="I13">
        <v>14.658238422632234</v>
      </c>
      <c r="J13">
        <v>14.682562838508682</v>
      </c>
      <c r="K13">
        <v>14.707002485627509</v>
      </c>
      <c r="L13">
        <v>14.730585229697649</v>
      </c>
      <c r="M13">
        <v>14.75428038546249</v>
      </c>
      <c r="N13">
        <v>14.778088836023334</v>
      </c>
      <c r="O13">
        <v>14.802011473306086</v>
      </c>
      <c r="P13">
        <v>14.826049198161343</v>
      </c>
      <c r="Q13">
        <v>14.849830341354128</v>
      </c>
      <c r="R13">
        <v>14.8737290738725</v>
      </c>
      <c r="S13">
        <v>14.897746366024307</v>
      </c>
      <c r="T13">
        <v>14.921883198332269</v>
      </c>
      <c r="U13">
        <v>14.946140561655898</v>
      </c>
      <c r="V13">
        <v>14.970143305673146</v>
      </c>
      <c r="W13">
        <v>14.994267838171567</v>
      </c>
      <c r="X13">
        <v>15.018515206048388</v>
      </c>
      <c r="Y13">
        <v>15.042886467769929</v>
      </c>
      <c r="Z13">
        <v>15.067382693516903</v>
      </c>
      <c r="AA13">
        <v>15.091315108232045</v>
      </c>
      <c r="AC13" s="38" t="s">
        <v>462</v>
      </c>
      <c r="AD13">
        <v>14.170059868204437</v>
      </c>
      <c r="AE13">
        <v>14.196220739401173</v>
      </c>
      <c r="AF13">
        <v>14.22251025696494</v>
      </c>
      <c r="AG13">
        <v>14.248929456004369</v>
      </c>
      <c r="AH13">
        <v>14.274256559033088</v>
      </c>
      <c r="AI13">
        <v>14.29971070776452</v>
      </c>
      <c r="AJ13">
        <v>14.325292955274291</v>
      </c>
      <c r="AK13">
        <v>14.351004365936816</v>
      </c>
      <c r="AL13">
        <v>14.376846015565185</v>
      </c>
      <c r="AM13">
        <v>14.401744466012097</v>
      </c>
      <c r="AN13">
        <v>14.426769674189003</v>
      </c>
      <c r="AO13">
        <v>14.451922713408095</v>
      </c>
      <c r="AP13">
        <v>14.477204668692814</v>
      </c>
      <c r="AQ13">
        <v>14.502616636924618</v>
      </c>
      <c r="AR13">
        <v>14.527722675669343</v>
      </c>
      <c r="AS13">
        <v>14.552961116912927</v>
      </c>
      <c r="AT13">
        <v>14.578333137410249</v>
      </c>
      <c r="AU13">
        <v>14.603839927444952</v>
      </c>
      <c r="AV13">
        <v>14.629482691007883</v>
      </c>
      <c r="AW13">
        <v>14.654834018355167</v>
      </c>
      <c r="AX13">
        <v>14.680322319116653</v>
      </c>
      <c r="AY13">
        <v>14.705948859355818</v>
      </c>
      <c r="AZ13">
        <v>14.731714920401865</v>
      </c>
      <c r="BA13">
        <v>14.757621799061821</v>
      </c>
      <c r="BB13">
        <v>14.782924111284467</v>
      </c>
    </row>
    <row r="14" spans="1:54" x14ac:dyDescent="0.3">
      <c r="B14" s="38" t="s">
        <v>63</v>
      </c>
      <c r="C14">
        <v>13.331820225698682</v>
      </c>
      <c r="D14">
        <v>13.358183433366417</v>
      </c>
      <c r="E14">
        <v>13.384673707938145</v>
      </c>
      <c r="F14">
        <v>13.411292007668671</v>
      </c>
      <c r="G14">
        <v>13.437309855320692</v>
      </c>
      <c r="H14">
        <v>13.463456124677496</v>
      </c>
      <c r="I14">
        <v>13.489731812621994</v>
      </c>
      <c r="J14">
        <v>13.516137925779216</v>
      </c>
      <c r="K14">
        <v>13.542675480624137</v>
      </c>
      <c r="L14">
        <v>13.568536563590737</v>
      </c>
      <c r="M14">
        <v>13.594527395476764</v>
      </c>
      <c r="N14">
        <v>13.620649003588625</v>
      </c>
      <c r="O14">
        <v>13.6469024254252</v>
      </c>
      <c r="P14">
        <v>13.673288708791741</v>
      </c>
      <c r="Q14">
        <v>13.699580207350385</v>
      </c>
      <c r="R14">
        <v>13.726008683112859</v>
      </c>
      <c r="S14">
        <v>13.752575275988033</v>
      </c>
      <c r="T14">
        <v>13.779281137811786</v>
      </c>
      <c r="U14">
        <v>13.806127432487502</v>
      </c>
      <c r="V14">
        <v>13.832758482398207</v>
      </c>
      <c r="W14">
        <v>13.859532069753991</v>
      </c>
      <c r="X14">
        <v>13.88644943154784</v>
      </c>
      <c r="Y14">
        <v>13.91351181837533</v>
      </c>
      <c r="Z14">
        <v>13.940720494603511</v>
      </c>
      <c r="AA14">
        <v>13.967293966032537</v>
      </c>
      <c r="AC14" s="38" t="s">
        <v>463</v>
      </c>
      <c r="AD14">
        <v>12.948633097536527</v>
      </c>
      <c r="AE14">
        <v>12.976318442416845</v>
      </c>
      <c r="AF14">
        <v>13.004146656229796</v>
      </c>
      <c r="AG14">
        <v>13.032118899982708</v>
      </c>
      <c r="AH14">
        <v>13.059412249952089</v>
      </c>
      <c r="AI14">
        <v>13.086849729654249</v>
      </c>
      <c r="AJ14">
        <v>13.114432545425231</v>
      </c>
      <c r="AK14">
        <v>13.142161916467513</v>
      </c>
      <c r="AL14">
        <v>13.170039075007239</v>
      </c>
      <c r="AM14">
        <v>13.197171471431336</v>
      </c>
      <c r="AN14">
        <v>13.224449498989925</v>
      </c>
      <c r="AO14">
        <v>13.251874402510724</v>
      </c>
      <c r="AP14">
        <v>13.279447440324033</v>
      </c>
      <c r="AQ14">
        <v>13.307169884429829</v>
      </c>
      <c r="AR14">
        <v>13.334757730883821</v>
      </c>
      <c r="AS14">
        <v>13.362499147005039</v>
      </c>
      <c r="AT14">
        <v>13.390395511561287</v>
      </c>
      <c r="AU14">
        <v>13.418448219093991</v>
      </c>
      <c r="AV14">
        <v>13.446658680123923</v>
      </c>
      <c r="AW14">
        <v>13.474616511389153</v>
      </c>
      <c r="AX14">
        <v>13.502733966091283</v>
      </c>
      <c r="AY14">
        <v>13.531012536256698</v>
      </c>
      <c r="AZ14">
        <v>13.559453731836262</v>
      </c>
      <c r="BA14">
        <v>13.588059080951828</v>
      </c>
      <c r="BB14">
        <v>13.615983682708626</v>
      </c>
    </row>
    <row r="15" spans="1:54" x14ac:dyDescent="0.3">
      <c r="B15" s="38" t="s">
        <v>64</v>
      </c>
      <c r="C15">
        <v>12.032751830112323</v>
      </c>
      <c r="D15">
        <v>12.059688198974259</v>
      </c>
      <c r="E15">
        <v>12.086760160328152</v>
      </c>
      <c r="F15">
        <v>12.113968739987369</v>
      </c>
      <c r="G15">
        <v>12.141063146906168</v>
      </c>
      <c r="H15">
        <v>12.168297691244945</v>
      </c>
      <c r="I15">
        <v>12.195673464576259</v>
      </c>
      <c r="J15">
        <v>12.223191568989449</v>
      </c>
      <c r="K15">
        <v>12.25085311720426</v>
      </c>
      <c r="L15">
        <v>12.278115790203623</v>
      </c>
      <c r="M15">
        <v>12.305522099650195</v>
      </c>
      <c r="N15">
        <v>12.33307318682084</v>
      </c>
      <c r="O15">
        <v>12.360770204159287</v>
      </c>
      <c r="P15">
        <v>12.388614315398147</v>
      </c>
      <c r="Q15">
        <v>12.416567550105098</v>
      </c>
      <c r="R15">
        <v>12.444674081358114</v>
      </c>
      <c r="S15">
        <v>12.472935191479548</v>
      </c>
      <c r="T15">
        <v>12.501352176045986</v>
      </c>
      <c r="U15">
        <v>12.529926344041197</v>
      </c>
      <c r="V15">
        <v>12.558386496564092</v>
      </c>
      <c r="W15">
        <v>12.587007292131783</v>
      </c>
      <c r="X15">
        <v>12.615790134922506</v>
      </c>
      <c r="Y15">
        <v>12.644736444399729</v>
      </c>
      <c r="Z15">
        <v>12.673847655498454</v>
      </c>
      <c r="AA15">
        <v>12.702308525200346</v>
      </c>
      <c r="AC15" s="38" t="s">
        <v>464</v>
      </c>
      <c r="AD15">
        <v>11.614807994271368</v>
      </c>
      <c r="AE15">
        <v>11.642850853542196</v>
      </c>
      <c r="AF15">
        <v>11.671044973525992</v>
      </c>
      <c r="AG15">
        <v>11.699391589541248</v>
      </c>
      <c r="AH15">
        <v>11.727586299988049</v>
      </c>
      <c r="AI15">
        <v>11.755937245285667</v>
      </c>
      <c r="AJ15">
        <v>11.784445740000555</v>
      </c>
      <c r="AK15">
        <v>11.813113112546668</v>
      </c>
      <c r="AL15">
        <v>11.841940705351192</v>
      </c>
      <c r="AM15">
        <v>11.870325169378173</v>
      </c>
      <c r="AN15">
        <v>11.898869904229853</v>
      </c>
      <c r="AO15">
        <v>11.92757628734276</v>
      </c>
      <c r="AP15">
        <v>11.956445710913133</v>
      </c>
      <c r="AQ15">
        <v>11.985479582075742</v>
      </c>
      <c r="AR15">
        <v>12.014592361571829</v>
      </c>
      <c r="AS15">
        <v>12.043876047175088</v>
      </c>
      <c r="AT15">
        <v>12.073332184316811</v>
      </c>
      <c r="AU15">
        <v>12.102962335923898</v>
      </c>
      <c r="AV15">
        <v>12.132768082642812</v>
      </c>
      <c r="AW15">
        <v>12.162425139420277</v>
      </c>
      <c r="AX15">
        <v>12.192261091930042</v>
      </c>
      <c r="AY15">
        <v>12.222277627814762</v>
      </c>
      <c r="AZ15">
        <v>12.252476454822645</v>
      </c>
      <c r="BA15">
        <v>12.282859301079432</v>
      </c>
      <c r="BB15">
        <v>12.312545808362154</v>
      </c>
    </row>
    <row r="16" spans="1:54" x14ac:dyDescent="0.3">
      <c r="B16" s="38" t="s">
        <v>65</v>
      </c>
      <c r="C16">
        <v>10.614729249129496</v>
      </c>
      <c r="D16">
        <v>10.641288404487353</v>
      </c>
      <c r="E16">
        <v>10.667985535662512</v>
      </c>
      <c r="F16">
        <v>10.694821678917721</v>
      </c>
      <c r="G16">
        <v>10.721990641356163</v>
      </c>
      <c r="H16">
        <v>10.74930509377675</v>
      </c>
      <c r="I16">
        <v>10.776766161867704</v>
      </c>
      <c r="J16">
        <v>10.804374981890119</v>
      </c>
      <c r="K16">
        <v>10.832132700788019</v>
      </c>
      <c r="L16">
        <v>10.859822546521436</v>
      </c>
      <c r="M16">
        <v>10.887663797909626</v>
      </c>
      <c r="N16">
        <v>10.915657650470459</v>
      </c>
      <c r="O16">
        <v>10.943805311130479</v>
      </c>
      <c r="P16">
        <v>10.972107998345276</v>
      </c>
      <c r="Q16">
        <v>11.000750114304919</v>
      </c>
      <c r="R16">
        <v>11.029555928257588</v>
      </c>
      <c r="S16">
        <v>11.05852680492816</v>
      </c>
      <c r="T16">
        <v>11.087664122834843</v>
      </c>
      <c r="U16">
        <v>11.116969274443235</v>
      </c>
      <c r="V16">
        <v>11.146277077998604</v>
      </c>
      <c r="W16">
        <v>11.175757926581571</v>
      </c>
      <c r="X16">
        <v>11.205413332985666</v>
      </c>
      <c r="Y16">
        <v>11.235244826158977</v>
      </c>
      <c r="Z16">
        <v>11.265253951395268</v>
      </c>
      <c r="AA16">
        <v>11.294652446299699</v>
      </c>
      <c r="AC16" s="38" t="s">
        <v>465</v>
      </c>
      <c r="AD16">
        <v>10.170906738362469</v>
      </c>
      <c r="AE16">
        <v>10.198290683878687</v>
      </c>
      <c r="AF16">
        <v>10.225827197687202</v>
      </c>
      <c r="AG16">
        <v>10.25351751924803</v>
      </c>
      <c r="AH16">
        <v>10.281535271770528</v>
      </c>
      <c r="AI16">
        <v>10.309713981595319</v>
      </c>
      <c r="AJ16">
        <v>10.338054996707221</v>
      </c>
      <c r="AK16">
        <v>10.366559678967292</v>
      </c>
      <c r="AL16">
        <v>10.39522940427331</v>
      </c>
      <c r="AM16">
        <v>10.4238122210349</v>
      </c>
      <c r="AN16">
        <v>10.452562817762791</v>
      </c>
      <c r="AO16">
        <v>10.481482630507081</v>
      </c>
      <c r="AP16">
        <v>10.510573110359765</v>
      </c>
      <c r="AQ16">
        <v>10.539835723631111</v>
      </c>
      <c r="AR16">
        <v>10.569414264051121</v>
      </c>
      <c r="AS16">
        <v>10.599174102878633</v>
      </c>
      <c r="AT16">
        <v>10.629116877690892</v>
      </c>
      <c r="AU16">
        <v>10.659244244234994</v>
      </c>
      <c r="AV16">
        <v>10.689557876653463</v>
      </c>
      <c r="AW16">
        <v>10.719838623228787</v>
      </c>
      <c r="AX16">
        <v>10.750310784253886</v>
      </c>
      <c r="AY16">
        <v>10.780976169970852</v>
      </c>
      <c r="AZ16">
        <v>10.811836611829376</v>
      </c>
      <c r="BA16">
        <v>10.842893962765807</v>
      </c>
      <c r="BB16">
        <v>10.873296131301661</v>
      </c>
    </row>
    <row r="17" spans="2:54" x14ac:dyDescent="0.3">
      <c r="B17" s="38" t="s">
        <v>66</v>
      </c>
      <c r="C17">
        <v>9.1104223810322686</v>
      </c>
      <c r="D17">
        <v>9.1354108530973601</v>
      </c>
      <c r="E17">
        <v>9.1605306176028449</v>
      </c>
      <c r="F17">
        <v>9.1857826364623438</v>
      </c>
      <c r="G17">
        <v>9.2116881496268626</v>
      </c>
      <c r="H17">
        <v>9.2377343201746438</v>
      </c>
      <c r="I17">
        <v>9.2639222100184249</v>
      </c>
      <c r="J17">
        <v>9.2902528906088726</v>
      </c>
      <c r="K17">
        <v>9.3167274430281335</v>
      </c>
      <c r="L17">
        <v>9.3434095273645923</v>
      </c>
      <c r="M17">
        <v>9.3702399630759157</v>
      </c>
      <c r="N17">
        <v>9.3972198935521387</v>
      </c>
      <c r="O17">
        <v>9.4243504726183538</v>
      </c>
      <c r="P17">
        <v>9.4516328646384373</v>
      </c>
      <c r="Q17">
        <v>9.4795407992082499</v>
      </c>
      <c r="R17">
        <v>9.5076118962790392</v>
      </c>
      <c r="S17">
        <v>9.535847489699746</v>
      </c>
      <c r="T17">
        <v>9.5642489262634864</v>
      </c>
      <c r="U17">
        <v>9.5928175658443902</v>
      </c>
      <c r="V17">
        <v>9.6215854454049072</v>
      </c>
      <c r="W17">
        <v>9.6505282165269186</v>
      </c>
      <c r="X17">
        <v>9.6796473871367787</v>
      </c>
      <c r="Y17">
        <v>9.7089444807027618</v>
      </c>
      <c r="Z17">
        <v>9.7384210364098767</v>
      </c>
      <c r="AA17">
        <v>9.7673950603501378</v>
      </c>
      <c r="AC17" s="38" t="s">
        <v>466</v>
      </c>
      <c r="AD17">
        <v>8.6529905346374232</v>
      </c>
      <c r="AE17">
        <v>8.6784819012582552</v>
      </c>
      <c r="AF17">
        <v>8.704117023237238</v>
      </c>
      <c r="AG17">
        <v>8.7298970427706806</v>
      </c>
      <c r="AH17">
        <v>8.7563438531947533</v>
      </c>
      <c r="AI17">
        <v>8.7829448957244516</v>
      </c>
      <c r="AJ17">
        <v>8.8097014337771355</v>
      </c>
      <c r="AK17">
        <v>8.836614743252138</v>
      </c>
      <c r="AL17">
        <v>8.8636861126673754</v>
      </c>
      <c r="AM17">
        <v>8.8909622983458299</v>
      </c>
      <c r="AN17">
        <v>8.9184015472510296</v>
      </c>
      <c r="AO17">
        <v>8.9460052251233844</v>
      </c>
      <c r="AP17">
        <v>8.9737747114302984</v>
      </c>
      <c r="AQ17">
        <v>9.0017113995183795</v>
      </c>
      <c r="AR17">
        <v>9.0302569066729337</v>
      </c>
      <c r="AS17">
        <v>9.0589817115353366</v>
      </c>
      <c r="AT17">
        <v>9.0878874064530919</v>
      </c>
      <c r="AU17">
        <v>9.1169756007948273</v>
      </c>
      <c r="AV17">
        <v>9.1462479211510956</v>
      </c>
      <c r="AW17">
        <v>9.1756835390324785</v>
      </c>
      <c r="AX17">
        <v>9.2053110862401741</v>
      </c>
      <c r="AY17">
        <v>9.235132358073372</v>
      </c>
      <c r="AZ17">
        <v>9.265149170202557</v>
      </c>
      <c r="BA17">
        <v>9.2953633589253108</v>
      </c>
      <c r="BB17">
        <v>9.3250320650655176</v>
      </c>
    </row>
    <row r="18" spans="2:54" x14ac:dyDescent="0.3">
      <c r="B18" s="38" t="s">
        <v>67</v>
      </c>
      <c r="C18">
        <v>7.6061670352294</v>
      </c>
      <c r="D18">
        <v>7.628094910284295</v>
      </c>
      <c r="E18">
        <v>7.6501354679475533</v>
      </c>
      <c r="F18">
        <v>7.6722894906863939</v>
      </c>
      <c r="G18">
        <v>7.6952158491066038</v>
      </c>
      <c r="H18">
        <v>7.7182638701293662</v>
      </c>
      <c r="I18">
        <v>7.7414344236717882</v>
      </c>
      <c r="J18">
        <v>7.7647283868624468</v>
      </c>
      <c r="K18">
        <v>7.7881466441053187</v>
      </c>
      <c r="L18">
        <v>7.8120095229837689</v>
      </c>
      <c r="M18">
        <v>7.8360023736378892</v>
      </c>
      <c r="N18">
        <v>7.8601261438506871</v>
      </c>
      <c r="O18">
        <v>7.8843817893851522</v>
      </c>
      <c r="P18">
        <v>7.9087702740559092</v>
      </c>
      <c r="Q18">
        <v>7.9340442973234628</v>
      </c>
      <c r="R18">
        <v>7.9594643837550558</v>
      </c>
      <c r="S18">
        <v>7.9850316705760287</v>
      </c>
      <c r="T18">
        <v>8.0107473052502023</v>
      </c>
      <c r="U18">
        <v>8.0366124455781325</v>
      </c>
      <c r="V18">
        <v>8.0629912964453059</v>
      </c>
      <c r="W18">
        <v>8.0895303699682231</v>
      </c>
      <c r="X18">
        <v>8.1162309941938258</v>
      </c>
      <c r="Y18">
        <v>8.1430945099770149</v>
      </c>
      <c r="Z18">
        <v>8.1701222711126036</v>
      </c>
      <c r="AA18">
        <v>8.1968876056462712</v>
      </c>
      <c r="AC18" s="38" t="s">
        <v>467</v>
      </c>
      <c r="AD18">
        <v>7.1526203705049216</v>
      </c>
      <c r="AE18">
        <v>7.1747292054471155</v>
      </c>
      <c r="AF18">
        <v>7.1969600531058919</v>
      </c>
      <c r="AG18">
        <v>7.2193138364174514</v>
      </c>
      <c r="AH18">
        <v>7.2424593472969532</v>
      </c>
      <c r="AI18">
        <v>7.2657368564656579</v>
      </c>
      <c r="AJ18">
        <v>7.2891473921512384</v>
      </c>
      <c r="AK18">
        <v>7.3126919920151963</v>
      </c>
      <c r="AL18">
        <v>7.3363717032466713</v>
      </c>
      <c r="AM18">
        <v>7.3605058171947872</v>
      </c>
      <c r="AN18">
        <v>7.3847814207816525</v>
      </c>
      <c r="AO18">
        <v>7.4091996395680244</v>
      </c>
      <c r="AP18">
        <v>7.4337616096105013</v>
      </c>
      <c r="AQ18">
        <v>7.4584684775672061</v>
      </c>
      <c r="AR18">
        <v>7.4840451837030528</v>
      </c>
      <c r="AS18">
        <v>7.5097809119800276</v>
      </c>
      <c r="AT18">
        <v>7.535677012912199</v>
      </c>
      <c r="AU18">
        <v>7.5617348504801134</v>
      </c>
      <c r="AV18">
        <v>7.5879558022758644</v>
      </c>
      <c r="AW18">
        <v>7.6146569083186959</v>
      </c>
      <c r="AX18">
        <v>7.6415322189198065</v>
      </c>
      <c r="AY18">
        <v>7.6685833072871699</v>
      </c>
      <c r="AZ18">
        <v>7.6958117634259349</v>
      </c>
      <c r="BA18">
        <v>7.7232191943327244</v>
      </c>
      <c r="BB18">
        <v>7.7503239416498966</v>
      </c>
    </row>
    <row r="19" spans="2:54" x14ac:dyDescent="0.3">
      <c r="B19" s="38" t="s">
        <v>68</v>
      </c>
      <c r="C19">
        <v>5.5729236845878667</v>
      </c>
      <c r="D19">
        <v>5.5889555708654939</v>
      </c>
      <c r="E19">
        <v>5.6050624680545704</v>
      </c>
      <c r="F19">
        <v>5.6212448170906564</v>
      </c>
      <c r="G19">
        <v>5.6378733813350745</v>
      </c>
      <c r="H19">
        <v>5.6545818585704977</v>
      </c>
      <c r="I19">
        <v>5.671370731855486</v>
      </c>
      <c r="J19">
        <v>5.6882404874345891</v>
      </c>
      <c r="K19">
        <v>5.705191614759527</v>
      </c>
      <c r="L19">
        <v>5.7225142919911196</v>
      </c>
      <c r="M19">
        <v>5.7399217184311437</v>
      </c>
      <c r="N19">
        <v>5.75741441350758</v>
      </c>
      <c r="O19">
        <v>5.7749929001177494</v>
      </c>
      <c r="P19">
        <v>5.7926577046516456</v>
      </c>
      <c r="Q19">
        <v>5.8114493606100774</v>
      </c>
      <c r="R19">
        <v>5.8303400747334653</v>
      </c>
      <c r="S19">
        <v>5.8493305029107567</v>
      </c>
      <c r="T19">
        <v>5.8684213057721584</v>
      </c>
      <c r="U19">
        <v>5.8876131487236965</v>
      </c>
      <c r="V19">
        <v>5.9077265277597153</v>
      </c>
      <c r="W19">
        <v>5.9279539421627296</v>
      </c>
      <c r="X19">
        <v>5.9482962130585992</v>
      </c>
      <c r="Y19">
        <v>5.968754168060701</v>
      </c>
      <c r="Z19">
        <v>5.9893286413217615</v>
      </c>
      <c r="AA19">
        <v>6.0101952601940232</v>
      </c>
      <c r="AC19" s="38" t="s">
        <v>468</v>
      </c>
      <c r="AD19">
        <v>5.1528629449740562</v>
      </c>
      <c r="AE19">
        <v>5.1687274450354987</v>
      </c>
      <c r="AF19">
        <v>5.1846722349636369</v>
      </c>
      <c r="AG19">
        <v>5.2006978359872233</v>
      </c>
      <c r="AH19">
        <v>5.2171690446502677</v>
      </c>
      <c r="AI19">
        <v>5.2337258631026167</v>
      </c>
      <c r="AJ19">
        <v>5.2503688625397587</v>
      </c>
      <c r="AK19">
        <v>5.2670986183966759</v>
      </c>
      <c r="AL19">
        <v>5.2839157103800307</v>
      </c>
      <c r="AM19">
        <v>5.3011148500500722</v>
      </c>
      <c r="AN19">
        <v>5.3184050955139499</v>
      </c>
      <c r="AO19">
        <v>5.3357870633666469</v>
      </c>
      <c r="AP19">
        <v>5.3532613748370119</v>
      </c>
      <c r="AQ19">
        <v>5.3708286558234102</v>
      </c>
      <c r="AR19">
        <v>5.3895047303780723</v>
      </c>
      <c r="AS19">
        <v>5.4082873807557856</v>
      </c>
      <c r="AT19">
        <v>5.4271773857314125</v>
      </c>
      <c r="AU19">
        <v>5.4461755304074053</v>
      </c>
      <c r="AV19">
        <v>5.4652826062663999</v>
      </c>
      <c r="AW19">
        <v>5.485273121709703</v>
      </c>
      <c r="AX19">
        <v>5.5053861596272693</v>
      </c>
      <c r="AY19">
        <v>5.5256226927315071</v>
      </c>
      <c r="AZ19">
        <v>5.5459837023659784</v>
      </c>
      <c r="BA19">
        <v>5.5664701785839723</v>
      </c>
      <c r="BB19">
        <v>5.5872158950261355</v>
      </c>
    </row>
    <row r="20" spans="2:54" x14ac:dyDescent="0.3">
      <c r="B20" s="38" t="s">
        <v>69</v>
      </c>
      <c r="C20">
        <f t="shared" ref="C20:C35" si="0">D4*(1+disc)^-1</f>
        <v>18.535202050870883</v>
      </c>
      <c r="AC20" s="38" t="s">
        <v>469</v>
      </c>
      <c r="AD20">
        <f t="shared" ref="AD20:AD35" si="1">AE4*(1+disc)^-1</f>
        <v>18.453250604832096</v>
      </c>
    </row>
    <row r="21" spans="2:54" x14ac:dyDescent="0.3">
      <c r="B21" s="38" t="s">
        <v>70</v>
      </c>
      <c r="C21">
        <f t="shared" si="0"/>
        <v>18.379940044197227</v>
      </c>
      <c r="AC21" s="38" t="s">
        <v>470</v>
      </c>
      <c r="AD21">
        <f t="shared" si="1"/>
        <v>18.291256847464513</v>
      </c>
    </row>
    <row r="22" spans="2:54" x14ac:dyDescent="0.3">
      <c r="B22" s="38" t="s">
        <v>71</v>
      </c>
      <c r="C22">
        <f t="shared" si="0"/>
        <v>18.11872456730163</v>
      </c>
      <c r="AC22" s="38" t="s">
        <v>471</v>
      </c>
      <c r="AD22">
        <f t="shared" si="1"/>
        <v>18.0128871285028</v>
      </c>
    </row>
    <row r="23" spans="2:54" x14ac:dyDescent="0.3">
      <c r="B23" s="38" t="s">
        <v>72</v>
      </c>
      <c r="C23">
        <f t="shared" si="0"/>
        <v>17.790410000906185</v>
      </c>
      <c r="AC23" s="38" t="s">
        <v>472</v>
      </c>
      <c r="AD23">
        <f t="shared" si="1"/>
        <v>17.663272076143365</v>
      </c>
    </row>
    <row r="24" spans="2:54" x14ac:dyDescent="0.3">
      <c r="B24" s="38" t="s">
        <v>73</v>
      </c>
      <c r="C24">
        <f t="shared" si="0"/>
        <v>17.402248053695182</v>
      </c>
      <c r="AC24" s="38" t="s">
        <v>473</v>
      </c>
      <c r="AD24">
        <f t="shared" si="1"/>
        <v>17.251874960308044</v>
      </c>
    </row>
    <row r="25" spans="2:54" x14ac:dyDescent="0.3">
      <c r="B25" s="38" t="s">
        <v>74</v>
      </c>
      <c r="C25">
        <f t="shared" si="0"/>
        <v>16.93359481174836</v>
      </c>
      <c r="AC25" s="38" t="s">
        <v>474</v>
      </c>
      <c r="AD25">
        <f t="shared" si="1"/>
        <v>16.756864516742617</v>
      </c>
    </row>
    <row r="26" spans="2:54" x14ac:dyDescent="0.3">
      <c r="B26" s="38" t="s">
        <v>75</v>
      </c>
      <c r="C26">
        <f t="shared" si="0"/>
        <v>16.355731305479271</v>
      </c>
      <c r="AC26" s="38" t="s">
        <v>475</v>
      </c>
      <c r="AD26">
        <f t="shared" si="1"/>
        <v>16.147659306770692</v>
      </c>
    </row>
    <row r="27" spans="2:54" x14ac:dyDescent="0.3">
      <c r="B27" s="38" t="s">
        <v>76</v>
      </c>
      <c r="C27">
        <f t="shared" si="0"/>
        <v>15.658859934158494</v>
      </c>
      <c r="AC27" s="38" t="s">
        <v>476</v>
      </c>
      <c r="AD27">
        <f t="shared" si="1"/>
        <v>15.415426248154766</v>
      </c>
    </row>
    <row r="28" spans="2:54" x14ac:dyDescent="0.3">
      <c r="B28" s="38" t="s">
        <v>77</v>
      </c>
      <c r="C28">
        <f t="shared" si="0"/>
        <v>14.827546858681741</v>
      </c>
      <c r="AC28" s="38" t="s">
        <v>477</v>
      </c>
      <c r="AD28">
        <f t="shared" si="1"/>
        <v>14.5453536928862</v>
      </c>
    </row>
    <row r="29" spans="2:54" x14ac:dyDescent="0.3">
      <c r="B29" s="38" t="s">
        <v>78</v>
      </c>
      <c r="C29">
        <f t="shared" si="0"/>
        <v>13.843939805908061</v>
      </c>
      <c r="AC29" s="38" t="s">
        <v>478</v>
      </c>
      <c r="AD29">
        <f t="shared" si="1"/>
        <v>13.520210228001117</v>
      </c>
    </row>
    <row r="30" spans="2:54" x14ac:dyDescent="0.3">
      <c r="B30" s="38" t="s">
        <v>79</v>
      </c>
      <c r="C30">
        <f t="shared" si="0"/>
        <v>12.722079460348969</v>
      </c>
      <c r="AC30" s="38" t="s">
        <v>479</v>
      </c>
      <c r="AD30">
        <f t="shared" si="1"/>
        <v>12.358398516587471</v>
      </c>
    </row>
    <row r="31" spans="2:54" x14ac:dyDescent="0.3">
      <c r="B31" s="38" t="s">
        <v>80</v>
      </c>
      <c r="C31">
        <f t="shared" si="0"/>
        <v>11.485417332356436</v>
      </c>
      <c r="AC31" s="38" t="s">
        <v>480</v>
      </c>
      <c r="AD31">
        <f t="shared" si="1"/>
        <v>11.088429384325901</v>
      </c>
    </row>
    <row r="32" spans="2:54" x14ac:dyDescent="0.3">
      <c r="B32" s="38" t="s">
        <v>81</v>
      </c>
      <c r="C32">
        <f t="shared" si="0"/>
        <v>10.134560385226051</v>
      </c>
      <c r="AC32" s="38" t="s">
        <v>481</v>
      </c>
      <c r="AD32">
        <f t="shared" si="1"/>
        <v>9.7126577941701768</v>
      </c>
    </row>
    <row r="33" spans="2:30" x14ac:dyDescent="0.3">
      <c r="B33" s="38" t="s">
        <v>82</v>
      </c>
      <c r="C33">
        <f t="shared" si="0"/>
        <v>8.7003912886641519</v>
      </c>
      <c r="AC33" s="38" t="s">
        <v>482</v>
      </c>
      <c r="AD33">
        <f t="shared" si="1"/>
        <v>8.2652208583411948</v>
      </c>
    </row>
    <row r="34" spans="2:30" x14ac:dyDescent="0.3">
      <c r="B34" s="38" t="s">
        <v>83</v>
      </c>
      <c r="C34">
        <f t="shared" si="0"/>
        <v>7.2648522955088524</v>
      </c>
      <c r="AC34" s="38" t="s">
        <v>483</v>
      </c>
      <c r="AD34">
        <f t="shared" si="1"/>
        <v>6.8330754337591575</v>
      </c>
    </row>
    <row r="35" spans="2:30" x14ac:dyDescent="0.3">
      <c r="B35" s="38" t="s">
        <v>84</v>
      </c>
      <c r="C35">
        <f t="shared" si="0"/>
        <v>5.3228148293957078</v>
      </c>
      <c r="AC35" s="38" t="s">
        <v>484</v>
      </c>
      <c r="AD35">
        <f t="shared" si="1"/>
        <v>4.9225975667004747</v>
      </c>
    </row>
    <row r="36" spans="2:30" x14ac:dyDescent="0.3">
      <c r="B36" s="38" t="s">
        <v>85</v>
      </c>
      <c r="C36">
        <f t="shared" ref="C36:C51" si="2">E4*(1+disc)^-2</f>
        <v>17.662957960864478</v>
      </c>
      <c r="AC36" s="38" t="s">
        <v>485</v>
      </c>
      <c r="AD36">
        <f t="shared" ref="AD36:AD51" si="3">AF4*(1+disc)^-2</f>
        <v>17.586052245706153</v>
      </c>
    </row>
    <row r="37" spans="2:30" x14ac:dyDescent="0.3">
      <c r="B37" s="38" t="s">
        <v>86</v>
      </c>
      <c r="C37">
        <f t="shared" si="2"/>
        <v>17.514279617267992</v>
      </c>
      <c r="AC37" s="38" t="s">
        <v>486</v>
      </c>
      <c r="AD37">
        <f t="shared" si="3"/>
        <v>17.430789219193692</v>
      </c>
    </row>
    <row r="38" spans="2:30" x14ac:dyDescent="0.3">
      <c r="B38" s="38" t="s">
        <v>87</v>
      </c>
      <c r="C38">
        <f t="shared" si="2"/>
        <v>17.266656910120428</v>
      </c>
      <c r="AC38" s="38" t="s">
        <v>487</v>
      </c>
      <c r="AD38">
        <f t="shared" si="3"/>
        <v>17.166900571307096</v>
      </c>
    </row>
    <row r="39" spans="2:30" x14ac:dyDescent="0.3">
      <c r="B39" s="38" t="s">
        <v>88</v>
      </c>
      <c r="C39">
        <f t="shared" si="2"/>
        <v>16.955511349080123</v>
      </c>
      <c r="AC39" s="38" t="s">
        <v>488</v>
      </c>
      <c r="AD39">
        <f t="shared" si="3"/>
        <v>16.835571259947091</v>
      </c>
    </row>
    <row r="40" spans="2:30" x14ac:dyDescent="0.3">
      <c r="B40" s="38" t="s">
        <v>89</v>
      </c>
      <c r="C40">
        <f t="shared" si="2"/>
        <v>16.587291374189725</v>
      </c>
      <c r="AC40" s="38" t="s">
        <v>489</v>
      </c>
      <c r="AD40">
        <f t="shared" si="3"/>
        <v>16.445292836157865</v>
      </c>
    </row>
    <row r="41" spans="2:30" x14ac:dyDescent="0.3">
      <c r="B41" s="38" t="s">
        <v>90</v>
      </c>
      <c r="C41">
        <f t="shared" si="2"/>
        <v>16.142459425345407</v>
      </c>
      <c r="AC41" s="38" t="s">
        <v>490</v>
      </c>
      <c r="AD41">
        <f t="shared" si="3"/>
        <v>15.975408831152226</v>
      </c>
    </row>
    <row r="42" spans="2:30" x14ac:dyDescent="0.3">
      <c r="B42" s="38" t="s">
        <v>91</v>
      </c>
      <c r="C42">
        <f t="shared" si="2"/>
        <v>15.593879766007705</v>
      </c>
      <c r="AC42" s="38" t="s">
        <v>491</v>
      </c>
      <c r="AD42">
        <f t="shared" si="3"/>
        <v>15.397032769157958</v>
      </c>
    </row>
    <row r="43" spans="2:30" x14ac:dyDescent="0.3">
      <c r="B43" s="38" t="s">
        <v>92</v>
      </c>
      <c r="C43">
        <f t="shared" si="2"/>
        <v>14.93202612309673</v>
      </c>
      <c r="AC43" s="38" t="s">
        <v>492</v>
      </c>
      <c r="AD43">
        <f t="shared" si="3"/>
        <v>14.701529608649887</v>
      </c>
    </row>
    <row r="44" spans="2:30" x14ac:dyDescent="0.3">
      <c r="B44" s="38" t="s">
        <v>93</v>
      </c>
      <c r="C44">
        <f t="shared" si="2"/>
        <v>14.142125588605257</v>
      </c>
      <c r="AC44" s="38" t="s">
        <v>493</v>
      </c>
      <c r="AD44">
        <f t="shared" si="3"/>
        <v>13.874708648959743</v>
      </c>
    </row>
    <row r="45" spans="2:30" x14ac:dyDescent="0.3">
      <c r="B45" s="38" t="s">
        <v>94</v>
      </c>
      <c r="C45">
        <f t="shared" si="2"/>
        <v>13.207242637415337</v>
      </c>
      <c r="AC45" s="38" t="s">
        <v>494</v>
      </c>
      <c r="AD45">
        <f t="shared" si="3"/>
        <v>12.900236060739173</v>
      </c>
    </row>
    <row r="46" spans="2:30" x14ac:dyDescent="0.3">
      <c r="B46" s="38" t="s">
        <v>95</v>
      </c>
      <c r="C46">
        <f t="shared" si="2"/>
        <v>12.140293612642308</v>
      </c>
      <c r="AC46" s="38" t="s">
        <v>495</v>
      </c>
      <c r="AD46">
        <f t="shared" si="3"/>
        <v>11.795144359392104</v>
      </c>
    </row>
    <row r="47" spans="2:30" x14ac:dyDescent="0.3">
      <c r="B47" s="38" t="s">
        <v>96</v>
      </c>
      <c r="C47">
        <f t="shared" si="2"/>
        <v>10.963047764469978</v>
      </c>
      <c r="AC47" s="38" t="s">
        <v>496</v>
      </c>
      <c r="AD47">
        <f t="shared" si="3"/>
        <v>10.585981835397725</v>
      </c>
    </row>
    <row r="48" spans="2:30" x14ac:dyDescent="0.3">
      <c r="B48" s="38" t="s">
        <v>97</v>
      </c>
      <c r="C48">
        <f t="shared" si="2"/>
        <v>9.6761773566099869</v>
      </c>
      <c r="AC48" s="38" t="s">
        <v>497</v>
      </c>
      <c r="AD48">
        <f t="shared" si="3"/>
        <v>9.2751267099203645</v>
      </c>
    </row>
    <row r="49" spans="2:30" x14ac:dyDescent="0.3">
      <c r="B49" s="38" t="s">
        <v>98</v>
      </c>
      <c r="C49">
        <f t="shared" si="2"/>
        <v>8.3088713084833046</v>
      </c>
      <c r="AC49" s="38" t="s">
        <v>498</v>
      </c>
      <c r="AD49">
        <f t="shared" si="3"/>
        <v>7.8948907240247053</v>
      </c>
    </row>
    <row r="50" spans="2:30" x14ac:dyDescent="0.3">
      <c r="B50" s="38" t="s">
        <v>99</v>
      </c>
      <c r="C50">
        <f t="shared" si="2"/>
        <v>6.9388983836258982</v>
      </c>
      <c r="AC50" s="38" t="s">
        <v>499</v>
      </c>
      <c r="AD50">
        <f t="shared" si="3"/>
        <v>6.5278549234520558</v>
      </c>
    </row>
    <row r="51" spans="2:30" x14ac:dyDescent="0.3">
      <c r="B51" s="38" t="s">
        <v>100</v>
      </c>
      <c r="C51">
        <f t="shared" si="2"/>
        <v>5.0839568871243266</v>
      </c>
      <c r="AC51" s="38" t="s">
        <v>500</v>
      </c>
      <c r="AD51">
        <f t="shared" si="3"/>
        <v>4.7026505532549994</v>
      </c>
    </row>
    <row r="52" spans="2:30" x14ac:dyDescent="0.3">
      <c r="B52" s="38" t="s">
        <v>101</v>
      </c>
      <c r="C52">
        <f t="shared" ref="C52:C67" si="4">F4*(1+disc)^-3</f>
        <v>16.831777069925177</v>
      </c>
      <c r="AC52" s="38" t="s">
        <v>501</v>
      </c>
      <c r="AD52">
        <f t="shared" ref="AD52:AD67" si="5">AG4*(1+disc)^-3</f>
        <v>16.759626432112995</v>
      </c>
    </row>
    <row r="53" spans="2:30" x14ac:dyDescent="0.3">
      <c r="B53" s="38" t="s">
        <v>102</v>
      </c>
      <c r="C53">
        <f t="shared" si="4"/>
        <v>16.689409935817842</v>
      </c>
      <c r="AC53" s="38" t="s">
        <v>502</v>
      </c>
      <c r="AD53">
        <f t="shared" si="5"/>
        <v>16.610823123076873</v>
      </c>
    </row>
    <row r="54" spans="2:30" x14ac:dyDescent="0.3">
      <c r="B54" s="38" t="s">
        <v>103</v>
      </c>
      <c r="C54">
        <f t="shared" si="4"/>
        <v>16.454683043971958</v>
      </c>
      <c r="AC54" s="38" t="s">
        <v>503</v>
      </c>
      <c r="AD54">
        <f t="shared" si="5"/>
        <v>16.360673671521745</v>
      </c>
    </row>
    <row r="55" spans="2:30" x14ac:dyDescent="0.3">
      <c r="B55" s="38" t="s">
        <v>104</v>
      </c>
      <c r="C55">
        <f t="shared" si="4"/>
        <v>16.159822359297316</v>
      </c>
      <c r="AC55" s="38" t="s">
        <v>504</v>
      </c>
      <c r="AD55">
        <f t="shared" si="5"/>
        <v>16.046688876733921</v>
      </c>
    </row>
    <row r="56" spans="2:30" x14ac:dyDescent="0.3">
      <c r="B56" s="38" t="s">
        <v>105</v>
      </c>
      <c r="C56">
        <f t="shared" si="4"/>
        <v>15.81053268909421</v>
      </c>
      <c r="AC56" s="38" t="s">
        <v>505</v>
      </c>
      <c r="AD56">
        <f t="shared" si="5"/>
        <v>15.676459104028558</v>
      </c>
    </row>
    <row r="57" spans="2:30" x14ac:dyDescent="0.3">
      <c r="B57" s="38" t="s">
        <v>106</v>
      </c>
      <c r="C57">
        <f t="shared" si="4"/>
        <v>15.388324555272304</v>
      </c>
      <c r="AC57" s="38" t="s">
        <v>506</v>
      </c>
      <c r="AD57">
        <f t="shared" si="5"/>
        <v>15.230440622445339</v>
      </c>
    </row>
    <row r="58" spans="2:30" x14ac:dyDescent="0.3">
      <c r="B58" s="38" t="s">
        <v>107</v>
      </c>
      <c r="C58">
        <f t="shared" si="4"/>
        <v>14.867560196845933</v>
      </c>
      <c r="AC58" s="38" t="s">
        <v>507</v>
      </c>
      <c r="AD58">
        <f t="shared" si="5"/>
        <v>14.681350304467003</v>
      </c>
    </row>
    <row r="59" spans="2:30" x14ac:dyDescent="0.3">
      <c r="B59" s="38" t="s">
        <v>108</v>
      </c>
      <c r="C59">
        <f t="shared" si="4"/>
        <v>14.238980710799348</v>
      </c>
      <c r="AC59" s="38" t="s">
        <v>508</v>
      </c>
      <c r="AD59">
        <f t="shared" si="5"/>
        <v>14.020751878951913</v>
      </c>
    </row>
    <row r="60" spans="2:30" x14ac:dyDescent="0.3">
      <c r="B60" s="38" t="s">
        <v>109</v>
      </c>
      <c r="C60">
        <f t="shared" si="4"/>
        <v>13.488445929245996</v>
      </c>
      <c r="AC60" s="38" t="s">
        <v>509</v>
      </c>
      <c r="AD60">
        <f t="shared" si="5"/>
        <v>13.23504972811774</v>
      </c>
    </row>
    <row r="61" spans="2:30" x14ac:dyDescent="0.3">
      <c r="B61" s="38" t="s">
        <v>110</v>
      </c>
      <c r="C61">
        <f t="shared" si="4"/>
        <v>12.599890088471264</v>
      </c>
      <c r="AC61" s="38" t="s">
        <v>510</v>
      </c>
      <c r="AD61">
        <f t="shared" si="5"/>
        <v>12.308761002919224</v>
      </c>
    </row>
    <row r="62" spans="2:30" x14ac:dyDescent="0.3">
      <c r="B62" s="38" t="s">
        <v>111</v>
      </c>
      <c r="C62">
        <f t="shared" si="4"/>
        <v>11.585178281108883</v>
      </c>
      <c r="AC62" s="38" t="s">
        <v>511</v>
      </c>
      <c r="AD62">
        <f t="shared" si="5"/>
        <v>11.257634294337723</v>
      </c>
    </row>
    <row r="63" spans="2:30" x14ac:dyDescent="0.3">
      <c r="B63" s="38" t="s">
        <v>112</v>
      </c>
      <c r="C63">
        <f t="shared" si="4"/>
        <v>10.464501665036058</v>
      </c>
      <c r="AC63" s="38" t="s">
        <v>512</v>
      </c>
      <c r="AD63">
        <f t="shared" si="5"/>
        <v>10.10637433498866</v>
      </c>
    </row>
    <row r="64" spans="2:30" x14ac:dyDescent="0.3">
      <c r="B64" s="38" t="s">
        <v>113</v>
      </c>
      <c r="C64">
        <f t="shared" si="4"/>
        <v>9.238589075838652</v>
      </c>
      <c r="AC64" s="38" t="s">
        <v>513</v>
      </c>
      <c r="AD64">
        <f t="shared" si="5"/>
        <v>8.8573739503276361</v>
      </c>
    </row>
    <row r="65" spans="2:30" x14ac:dyDescent="0.3">
      <c r="B65" s="38" t="s">
        <v>114</v>
      </c>
      <c r="C65">
        <f t="shared" si="4"/>
        <v>7.9350244133137613</v>
      </c>
      <c r="AC65" s="38" t="s">
        <v>514</v>
      </c>
      <c r="AD65">
        <f t="shared" si="5"/>
        <v>7.5412132968540586</v>
      </c>
    </row>
    <row r="66" spans="2:30" x14ac:dyDescent="0.3">
      <c r="B66" s="38" t="s">
        <v>115</v>
      </c>
      <c r="C66">
        <f t="shared" si="4"/>
        <v>6.6276121288728156</v>
      </c>
      <c r="AC66" s="38" t="s">
        <v>515</v>
      </c>
      <c r="AD66">
        <f t="shared" si="5"/>
        <v>6.2363147274959081</v>
      </c>
    </row>
    <row r="67" spans="2:30" x14ac:dyDescent="0.3">
      <c r="B67" s="38" t="s">
        <v>116</v>
      </c>
      <c r="C67">
        <f t="shared" si="4"/>
        <v>4.8558426235530989</v>
      </c>
      <c r="AC67" s="38" t="s">
        <v>516</v>
      </c>
      <c r="AD67">
        <f t="shared" si="5"/>
        <v>4.4925583293270472</v>
      </c>
    </row>
    <row r="68" spans="2:30" x14ac:dyDescent="0.3">
      <c r="B68" s="38" t="s">
        <v>117</v>
      </c>
      <c r="C68">
        <f t="shared" ref="C68:C83" si="6">G4*(1+disc)^-4</f>
        <v>16.038010561163599</v>
      </c>
      <c r="AC68" s="38" t="s">
        <v>517</v>
      </c>
      <c r="AD68">
        <f t="shared" ref="AD68:AD83" si="7">AH4*(1+disc)^-4</f>
        <v>15.970120530549895</v>
      </c>
    </row>
    <row r="69" spans="2:30" x14ac:dyDescent="0.3">
      <c r="B69" s="38" t="s">
        <v>118</v>
      </c>
      <c r="C69">
        <f t="shared" si="6"/>
        <v>15.902002781223107</v>
      </c>
      <c r="AC69" s="38" t="s">
        <v>518</v>
      </c>
      <c r="AD69">
        <f t="shared" si="7"/>
        <v>15.827869956484962</v>
      </c>
    </row>
    <row r="70" spans="2:30" x14ac:dyDescent="0.3">
      <c r="B70" s="38" t="s">
        <v>119</v>
      </c>
      <c r="C70">
        <f t="shared" si="6"/>
        <v>15.679442660990947</v>
      </c>
      <c r="AC70" s="38" t="s">
        <v>519</v>
      </c>
      <c r="AD70">
        <f t="shared" si="7"/>
        <v>15.590681854435749</v>
      </c>
    </row>
    <row r="71" spans="2:30" x14ac:dyDescent="0.3">
      <c r="B71" s="38" t="s">
        <v>120</v>
      </c>
      <c r="C71">
        <f t="shared" si="6"/>
        <v>15.399929534630312</v>
      </c>
      <c r="AC71" s="38" t="s">
        <v>520</v>
      </c>
      <c r="AD71">
        <f t="shared" si="7"/>
        <v>15.293040042574207</v>
      </c>
    </row>
    <row r="72" spans="2:30" x14ac:dyDescent="0.3">
      <c r="B72" s="38" t="s">
        <v>121</v>
      </c>
      <c r="C72">
        <f t="shared" si="6"/>
        <v>15.068594563715225</v>
      </c>
      <c r="AC72" s="38" t="s">
        <v>521</v>
      </c>
      <c r="AD72">
        <f t="shared" si="7"/>
        <v>14.941828676324194</v>
      </c>
    </row>
    <row r="73" spans="2:30" x14ac:dyDescent="0.3">
      <c r="B73" s="38" t="s">
        <v>122</v>
      </c>
      <c r="C73">
        <f t="shared" si="6"/>
        <v>14.667921161233007</v>
      </c>
      <c r="AC73" s="38" t="s">
        <v>522</v>
      </c>
      <c r="AD73">
        <f t="shared" si="7"/>
        <v>14.518535058484639</v>
      </c>
    </row>
    <row r="74" spans="2:30" x14ac:dyDescent="0.3">
      <c r="B74" s="38" t="s">
        <v>123</v>
      </c>
      <c r="C74">
        <f t="shared" si="6"/>
        <v>14.173644057257832</v>
      </c>
      <c r="AC74" s="38" t="s">
        <v>523</v>
      </c>
      <c r="AD74">
        <f t="shared" si="7"/>
        <v>13.997341722517335</v>
      </c>
    </row>
    <row r="75" spans="2:30" x14ac:dyDescent="0.3">
      <c r="B75" s="38" t="s">
        <v>124</v>
      </c>
      <c r="C75">
        <f t="shared" si="6"/>
        <v>13.576812313045897</v>
      </c>
      <c r="AC75" s="38" t="s">
        <v>524</v>
      </c>
      <c r="AD75">
        <f t="shared" si="7"/>
        <v>13.370061073317014</v>
      </c>
    </row>
    <row r="76" spans="2:30" x14ac:dyDescent="0.3">
      <c r="B76" s="38" t="s">
        <v>125</v>
      </c>
      <c r="C76">
        <f t="shared" si="6"/>
        <v>12.863900011496485</v>
      </c>
      <c r="AC76" s="38" t="s">
        <v>525</v>
      </c>
      <c r="AD76">
        <f t="shared" si="7"/>
        <v>12.623676394374199</v>
      </c>
    </row>
    <row r="77" spans="2:30" x14ac:dyDescent="0.3">
      <c r="B77" s="38" t="s">
        <v>126</v>
      </c>
      <c r="C77">
        <f t="shared" si="6"/>
        <v>12.019627012611288</v>
      </c>
      <c r="AC77" s="38" t="s">
        <v>526</v>
      </c>
      <c r="AD77">
        <f t="shared" si="7"/>
        <v>11.743466196930775</v>
      </c>
    </row>
    <row r="78" spans="2:30" x14ac:dyDescent="0.3">
      <c r="B78" s="38" t="s">
        <v>127</v>
      </c>
      <c r="C78">
        <f t="shared" si="6"/>
        <v>11.054908072517678</v>
      </c>
      <c r="AC78" s="38" t="s">
        <v>527</v>
      </c>
      <c r="AD78">
        <f t="shared" si="7"/>
        <v>10.744010777363004</v>
      </c>
    </row>
    <row r="79" spans="2:30" x14ac:dyDescent="0.3">
      <c r="B79" s="38" t="s">
        <v>128</v>
      </c>
      <c r="C79">
        <f t="shared" si="6"/>
        <v>9.9884826975642191</v>
      </c>
      <c r="AC79" s="38" t="s">
        <v>528</v>
      </c>
      <c r="AD79">
        <f t="shared" si="7"/>
        <v>9.6483142723355382</v>
      </c>
    </row>
    <row r="80" spans="2:30" x14ac:dyDescent="0.3">
      <c r="B80" s="38" t="s">
        <v>129</v>
      </c>
      <c r="C80">
        <f t="shared" si="6"/>
        <v>8.8210082353391126</v>
      </c>
      <c r="AC80" s="38" t="s">
        <v>529</v>
      </c>
      <c r="AD80">
        <f t="shared" si="7"/>
        <v>8.4586445127456376</v>
      </c>
    </row>
    <row r="81" spans="2:30" x14ac:dyDescent="0.3">
      <c r="B81" s="38" t="s">
        <v>130</v>
      </c>
      <c r="C81">
        <f t="shared" si="6"/>
        <v>7.5784786377090718</v>
      </c>
      <c r="AC81" s="38" t="s">
        <v>530</v>
      </c>
      <c r="AD81">
        <f t="shared" si="7"/>
        <v>7.2038657581520074</v>
      </c>
    </row>
    <row r="82" spans="2:30" x14ac:dyDescent="0.3">
      <c r="B82" s="38" t="s">
        <v>131</v>
      </c>
      <c r="C82">
        <f t="shared" si="6"/>
        <v>6.3308731231177164</v>
      </c>
      <c r="AC82" s="38" t="s">
        <v>531</v>
      </c>
      <c r="AD82">
        <f t="shared" si="7"/>
        <v>5.9583892286008018</v>
      </c>
    </row>
    <row r="83" spans="2:30" x14ac:dyDescent="0.3">
      <c r="B83" s="38" t="s">
        <v>132</v>
      </c>
      <c r="C83">
        <f t="shared" si="6"/>
        <v>4.6382923833876415</v>
      </c>
      <c r="AC83" s="38" t="s">
        <v>532</v>
      </c>
      <c r="AD83">
        <f t="shared" si="7"/>
        <v>4.292177884441374</v>
      </c>
    </row>
    <row r="84" spans="2:30" x14ac:dyDescent="0.3">
      <c r="B84" s="38" t="s">
        <v>133</v>
      </c>
      <c r="C84">
        <f t="shared" ref="C84:C99" si="8">H4*(1+disc)^-5</f>
        <v>15.281690369973106</v>
      </c>
      <c r="AC84" s="38" t="s">
        <v>533</v>
      </c>
      <c r="AD84">
        <f t="shared" ref="AD84:AD99" si="9">AI4*(1+disc)^-5</f>
        <v>15.217821607461779</v>
      </c>
    </row>
    <row r="85" spans="2:30" x14ac:dyDescent="0.3">
      <c r="B85" s="38" t="s">
        <v>134</v>
      </c>
      <c r="C85">
        <f t="shared" si="8"/>
        <v>15.151761658695261</v>
      </c>
      <c r="AC85" s="38" t="s">
        <v>534</v>
      </c>
      <c r="AD85">
        <f t="shared" si="9"/>
        <v>15.081839910796825</v>
      </c>
    </row>
    <row r="86" spans="2:30" x14ac:dyDescent="0.3">
      <c r="B86" s="38" t="s">
        <v>135</v>
      </c>
      <c r="C86">
        <f t="shared" si="8"/>
        <v>14.940746259047994</v>
      </c>
      <c r="AC86" s="38" t="s">
        <v>535</v>
      </c>
      <c r="AD86">
        <f t="shared" si="9"/>
        <v>14.856951032300771</v>
      </c>
    </row>
    <row r="87" spans="2:30" x14ac:dyDescent="0.3">
      <c r="B87" s="38" t="s">
        <v>136</v>
      </c>
      <c r="C87">
        <f t="shared" si="8"/>
        <v>14.675793170565445</v>
      </c>
      <c r="AC87" s="38" t="s">
        <v>536</v>
      </c>
      <c r="AD87">
        <f t="shared" si="9"/>
        <v>14.574814023731369</v>
      </c>
    </row>
    <row r="88" spans="2:30" x14ac:dyDescent="0.3">
      <c r="B88" s="38" t="s">
        <v>137</v>
      </c>
      <c r="C88">
        <f t="shared" si="8"/>
        <v>14.36150144867864</v>
      </c>
      <c r="AC88" s="38" t="s">
        <v>537</v>
      </c>
      <c r="AD88">
        <f t="shared" si="9"/>
        <v>14.241656656242769</v>
      </c>
    </row>
    <row r="89" spans="2:30" x14ac:dyDescent="0.3">
      <c r="B89" s="38" t="s">
        <v>138</v>
      </c>
      <c r="C89">
        <f t="shared" si="8"/>
        <v>13.981276920435597</v>
      </c>
      <c r="AC89" s="38" t="s">
        <v>538</v>
      </c>
      <c r="AD89">
        <f t="shared" si="9"/>
        <v>13.839943673762919</v>
      </c>
    </row>
    <row r="90" spans="2:30" x14ac:dyDescent="0.3">
      <c r="B90" s="38" t="s">
        <v>139</v>
      </c>
      <c r="C90">
        <f t="shared" si="8"/>
        <v>13.512154560218745</v>
      </c>
      <c r="AC90" s="38" t="s">
        <v>539</v>
      </c>
      <c r="AD90">
        <f t="shared" si="9"/>
        <v>13.345245923860839</v>
      </c>
    </row>
    <row r="91" spans="2:30" x14ac:dyDescent="0.3">
      <c r="B91" s="38" t="s">
        <v>140</v>
      </c>
      <c r="C91">
        <f t="shared" si="8"/>
        <v>12.945482934540482</v>
      </c>
      <c r="AC91" s="38" t="s">
        <v>540</v>
      </c>
      <c r="AD91">
        <f t="shared" si="9"/>
        <v>12.749619750478336</v>
      </c>
    </row>
    <row r="92" spans="2:30" x14ac:dyDescent="0.3">
      <c r="B92" s="38" t="s">
        <v>141</v>
      </c>
      <c r="C92">
        <f t="shared" si="8"/>
        <v>12.268323818000624</v>
      </c>
      <c r="AC92" s="38" t="s">
        <v>541</v>
      </c>
      <c r="AD92">
        <f t="shared" si="9"/>
        <v>12.040602860837611</v>
      </c>
    </row>
    <row r="93" spans="2:30" x14ac:dyDescent="0.3">
      <c r="B93" s="38" t="s">
        <v>142</v>
      </c>
      <c r="C93">
        <f t="shared" si="8"/>
        <v>11.466144136054098</v>
      </c>
      <c r="AC93" s="38" t="s">
        <v>542</v>
      </c>
      <c r="AD93">
        <f t="shared" si="9"/>
        <v>11.204197512462708</v>
      </c>
    </row>
    <row r="94" spans="2:30" x14ac:dyDescent="0.3">
      <c r="B94" s="38" t="s">
        <v>143</v>
      </c>
      <c r="C94">
        <f t="shared" si="8"/>
        <v>10.548970164784853</v>
      </c>
      <c r="AC94" s="38" t="s">
        <v>543</v>
      </c>
      <c r="AD94">
        <f t="shared" si="9"/>
        <v>10.253889199824782</v>
      </c>
    </row>
    <row r="95" spans="2:30" x14ac:dyDescent="0.3">
      <c r="B95" s="38" t="s">
        <v>144</v>
      </c>
      <c r="C95">
        <f t="shared" si="8"/>
        <v>9.5341796424681515</v>
      </c>
      <c r="AC95" s="38" t="s">
        <v>544</v>
      </c>
      <c r="AD95">
        <f t="shared" si="9"/>
        <v>9.2110844430424539</v>
      </c>
    </row>
    <row r="96" spans="2:30" x14ac:dyDescent="0.3">
      <c r="B96" s="38" t="s">
        <v>145</v>
      </c>
      <c r="C96">
        <f t="shared" si="8"/>
        <v>8.4223618123267752</v>
      </c>
      <c r="AC96" s="38" t="s">
        <v>545</v>
      </c>
      <c r="AD96">
        <f t="shared" si="9"/>
        <v>8.0779306733856533</v>
      </c>
    </row>
    <row r="97" spans="2:30" x14ac:dyDescent="0.3">
      <c r="B97" s="38" t="s">
        <v>146</v>
      </c>
      <c r="C97">
        <f t="shared" si="8"/>
        <v>7.2380065587405547</v>
      </c>
      <c r="AC97" s="38" t="s">
        <v>546</v>
      </c>
      <c r="AD97">
        <f t="shared" si="9"/>
        <v>6.8816671444506987</v>
      </c>
    </row>
    <row r="98" spans="2:30" x14ac:dyDescent="0.3">
      <c r="B98" s="38" t="s">
        <v>147</v>
      </c>
      <c r="C98">
        <f t="shared" si="8"/>
        <v>6.0474617019544743</v>
      </c>
      <c r="AC98" s="38" t="s">
        <v>547</v>
      </c>
      <c r="AD98">
        <f t="shared" si="9"/>
        <v>5.6928949457151292</v>
      </c>
    </row>
    <row r="99" spans="2:30" x14ac:dyDescent="0.3">
      <c r="B99" s="38" t="s">
        <v>148</v>
      </c>
      <c r="C99">
        <f t="shared" si="8"/>
        <v>4.4305128466278356</v>
      </c>
      <c r="AC99" s="38" t="s">
        <v>548</v>
      </c>
      <c r="AD99">
        <f t="shared" si="9"/>
        <v>4.1007611618636197</v>
      </c>
    </row>
    <row r="100" spans="2:30" x14ac:dyDescent="0.3">
      <c r="B100" s="38" t="s">
        <v>149</v>
      </c>
      <c r="C100">
        <f t="shared" ref="C100:C115" si="10">I4*(1+disc)^-6</f>
        <v>14.561049410350439</v>
      </c>
      <c r="AC100" s="38" t="s">
        <v>549</v>
      </c>
      <c r="AD100">
        <f t="shared" ref="AD100:AD115" si="11">AJ4*(1+disc)^-6</f>
        <v>14.500975600548742</v>
      </c>
    </row>
    <row r="101" spans="2:30" x14ac:dyDescent="0.3">
      <c r="B101" s="38" t="s">
        <v>150</v>
      </c>
      <c r="C101">
        <f t="shared" si="10"/>
        <v>14.436931656733034</v>
      </c>
      <c r="AC101" s="38" t="s">
        <v>550</v>
      </c>
      <c r="AD101">
        <f t="shared" si="11"/>
        <v>14.370990992605654</v>
      </c>
    </row>
    <row r="102" spans="2:30" x14ac:dyDescent="0.3">
      <c r="B102" s="38" t="s">
        <v>151</v>
      </c>
      <c r="C102">
        <f t="shared" si="10"/>
        <v>14.236870401319043</v>
      </c>
      <c r="AC102" s="38" t="s">
        <v>551</v>
      </c>
      <c r="AD102">
        <f t="shared" si="11"/>
        <v>14.157772678546007</v>
      </c>
    </row>
    <row r="103" spans="2:30" x14ac:dyDescent="0.3">
      <c r="B103" s="38" t="s">
        <v>152</v>
      </c>
      <c r="C103">
        <f t="shared" si="10"/>
        <v>13.985729806648971</v>
      </c>
      <c r="AC103" s="38" t="s">
        <v>552</v>
      </c>
      <c r="AD103">
        <f t="shared" si="11"/>
        <v>13.890344809349353</v>
      </c>
    </row>
    <row r="104" spans="2:30" x14ac:dyDescent="0.3">
      <c r="B104" s="38" t="s">
        <v>153</v>
      </c>
      <c r="C104">
        <f t="shared" si="10"/>
        <v>13.687615713716827</v>
      </c>
      <c r="AC104" s="38" t="s">
        <v>553</v>
      </c>
      <c r="AD104">
        <f t="shared" si="11"/>
        <v>13.574325463955709</v>
      </c>
    </row>
    <row r="105" spans="2:30" x14ac:dyDescent="0.3">
      <c r="B105" s="38" t="s">
        <v>154</v>
      </c>
      <c r="C105">
        <f t="shared" si="10"/>
        <v>13.326808477504052</v>
      </c>
      <c r="AC105" s="38" t="s">
        <v>554</v>
      </c>
      <c r="AD105">
        <f t="shared" si="11"/>
        <v>13.193105989408394</v>
      </c>
    </row>
    <row r="106" spans="2:30" x14ac:dyDescent="0.3">
      <c r="B106" s="38" t="s">
        <v>155</v>
      </c>
      <c r="C106">
        <f t="shared" si="10"/>
        <v>12.881574824829848</v>
      </c>
      <c r="AC106" s="38" t="s">
        <v>555</v>
      </c>
      <c r="AD106">
        <f t="shared" si="11"/>
        <v>12.723572228285347</v>
      </c>
    </row>
    <row r="107" spans="2:30" x14ac:dyDescent="0.3">
      <c r="B107" s="38" t="s">
        <v>156</v>
      </c>
      <c r="C107">
        <f t="shared" si="10"/>
        <v>12.343554481404233</v>
      </c>
      <c r="AC107" s="38" t="s">
        <v>556</v>
      </c>
      <c r="AD107">
        <f t="shared" si="11"/>
        <v>12.158019622034162</v>
      </c>
    </row>
    <row r="108" spans="2:30" x14ac:dyDescent="0.3">
      <c r="B108" s="38" t="s">
        <v>157</v>
      </c>
      <c r="C108">
        <f t="shared" si="10"/>
        <v>11.70037149607203</v>
      </c>
      <c r="AC108" s="38" t="s">
        <v>557</v>
      </c>
      <c r="AD108">
        <f t="shared" si="11"/>
        <v>11.484516849607468</v>
      </c>
    </row>
    <row r="109" spans="2:30" x14ac:dyDescent="0.3">
      <c r="B109" s="38" t="s">
        <v>158</v>
      </c>
      <c r="C109">
        <f t="shared" si="10"/>
        <v>10.938203198538767</v>
      </c>
      <c r="AC109" s="38" t="s">
        <v>558</v>
      </c>
      <c r="AD109">
        <f t="shared" si="11"/>
        <v>10.689754164555893</v>
      </c>
    </row>
    <row r="110" spans="2:30" x14ac:dyDescent="0.3">
      <c r="B110" s="38" t="s">
        <v>159</v>
      </c>
      <c r="C110">
        <f t="shared" si="10"/>
        <v>10.066245575077454</v>
      </c>
      <c r="AC110" s="38" t="s">
        <v>559</v>
      </c>
      <c r="AD110">
        <f t="shared" si="11"/>
        <v>9.7861914835487873</v>
      </c>
    </row>
    <row r="111" spans="2:30" x14ac:dyDescent="0.3">
      <c r="B111" s="38" t="s">
        <v>160</v>
      </c>
      <c r="C111">
        <f t="shared" si="10"/>
        <v>9.1005993116195683</v>
      </c>
      <c r="AC111" s="38" t="s">
        <v>560</v>
      </c>
      <c r="AD111">
        <f t="shared" si="11"/>
        <v>8.7937348520173302</v>
      </c>
    </row>
    <row r="112" spans="2:30" x14ac:dyDescent="0.3">
      <c r="B112" s="38" t="s">
        <v>161</v>
      </c>
      <c r="C112">
        <f t="shared" si="10"/>
        <v>8.041788835938295</v>
      </c>
      <c r="AC112" s="38" t="s">
        <v>561</v>
      </c>
      <c r="AD112">
        <f t="shared" si="11"/>
        <v>7.7144158098191493</v>
      </c>
    </row>
    <row r="113" spans="2:30" x14ac:dyDescent="0.3">
      <c r="B113" s="38" t="s">
        <v>162</v>
      </c>
      <c r="C113">
        <f t="shared" si="10"/>
        <v>6.9128813863597625</v>
      </c>
      <c r="AC113" s="38" t="s">
        <v>562</v>
      </c>
      <c r="AD113">
        <f t="shared" si="11"/>
        <v>6.573934849656272</v>
      </c>
    </row>
    <row r="114" spans="2:30" x14ac:dyDescent="0.3">
      <c r="B114" s="38" t="s">
        <v>163</v>
      </c>
      <c r="C114">
        <f t="shared" si="10"/>
        <v>5.7767775589966863</v>
      </c>
      <c r="AC114" s="38" t="s">
        <v>563</v>
      </c>
      <c r="AD114">
        <f t="shared" si="11"/>
        <v>5.4392740123769761</v>
      </c>
    </row>
    <row r="115" spans="2:30" x14ac:dyDescent="0.3">
      <c r="B115" s="38" t="s">
        <v>164</v>
      </c>
      <c r="C115">
        <f t="shared" si="10"/>
        <v>4.2320641601449029</v>
      </c>
      <c r="AC115" s="38" t="s">
        <v>564</v>
      </c>
      <c r="AD115">
        <f t="shared" si="11"/>
        <v>3.9179060832487056</v>
      </c>
    </row>
    <row r="116" spans="2:30" x14ac:dyDescent="0.3">
      <c r="B116" s="38" t="s">
        <v>165</v>
      </c>
      <c r="C116">
        <f t="shared" ref="C116:C131" si="12">J4*(1+disc)^-7</f>
        <v>13.874404006909101</v>
      </c>
      <c r="AC116" s="38" t="s">
        <v>565</v>
      </c>
      <c r="AD116">
        <f t="shared" ref="AD116:AD131" si="13">AK4*(1+disc)^-7</f>
        <v>13.817911164828946</v>
      </c>
    </row>
    <row r="117" spans="2:30" x14ac:dyDescent="0.3">
      <c r="B117" s="38" t="s">
        <v>166</v>
      </c>
      <c r="C117">
        <f t="shared" si="12"/>
        <v>13.755840754428974</v>
      </c>
      <c r="AC117" s="38" t="s">
        <v>566</v>
      </c>
      <c r="AD117">
        <f t="shared" si="13"/>
        <v>13.693663424152419</v>
      </c>
    </row>
    <row r="118" spans="2:30" x14ac:dyDescent="0.3">
      <c r="B118" s="38" t="s">
        <v>167</v>
      </c>
      <c r="C118">
        <f t="shared" si="12"/>
        <v>13.566172961858587</v>
      </c>
      <c r="AC118" s="38" t="s">
        <v>567</v>
      </c>
      <c r="AD118">
        <f t="shared" si="13"/>
        <v>13.491518804518766</v>
      </c>
    </row>
    <row r="119" spans="2:30" x14ac:dyDescent="0.3">
      <c r="B119" s="38" t="s">
        <v>168</v>
      </c>
      <c r="C119">
        <f t="shared" si="12"/>
        <v>13.328135280939982</v>
      </c>
      <c r="AC119" s="38" t="s">
        <v>568</v>
      </c>
      <c r="AD119">
        <f t="shared" si="13"/>
        <v>13.238044788196236</v>
      </c>
    </row>
    <row r="120" spans="2:30" x14ac:dyDescent="0.3">
      <c r="B120" s="38" t="s">
        <v>169</v>
      </c>
      <c r="C120">
        <f t="shared" si="12"/>
        <v>13.045376739687352</v>
      </c>
      <c r="AC120" s="38" t="s">
        <v>569</v>
      </c>
      <c r="AD120">
        <f t="shared" si="13"/>
        <v>12.938293505366326</v>
      </c>
    </row>
    <row r="121" spans="2:30" x14ac:dyDescent="0.3">
      <c r="B121" s="38" t="s">
        <v>170</v>
      </c>
      <c r="C121">
        <f t="shared" si="12"/>
        <v>12.703006793913563</v>
      </c>
      <c r="AC121" s="38" t="s">
        <v>570</v>
      </c>
      <c r="AD121">
        <f t="shared" si="13"/>
        <v>12.576534682442265</v>
      </c>
    </row>
    <row r="122" spans="2:30" x14ac:dyDescent="0.3">
      <c r="B122" s="38" t="s">
        <v>171</v>
      </c>
      <c r="C122">
        <f t="shared" si="12"/>
        <v>12.280458992658946</v>
      </c>
      <c r="AC122" s="38" t="s">
        <v>571</v>
      </c>
      <c r="AD122">
        <f t="shared" si="13"/>
        <v>12.130899658095981</v>
      </c>
    </row>
    <row r="123" spans="2:30" x14ac:dyDescent="0.3">
      <c r="B123" s="38" t="s">
        <v>172</v>
      </c>
      <c r="C123">
        <f t="shared" si="12"/>
        <v>11.769655995891064</v>
      </c>
      <c r="AC123" s="38" t="s">
        <v>572</v>
      </c>
      <c r="AD123">
        <f t="shared" si="13"/>
        <v>11.593918045514434</v>
      </c>
    </row>
    <row r="124" spans="2:30" x14ac:dyDescent="0.3">
      <c r="B124" s="38" t="s">
        <v>173</v>
      </c>
      <c r="C124">
        <f t="shared" si="12"/>
        <v>11.158759802157832</v>
      </c>
      <c r="AC124" s="38" t="s">
        <v>573</v>
      </c>
      <c r="AD124">
        <f t="shared" si="13"/>
        <v>10.954167026458007</v>
      </c>
    </row>
    <row r="125" spans="2:30" x14ac:dyDescent="0.3">
      <c r="B125" s="38" t="s">
        <v>174</v>
      </c>
      <c r="C125">
        <f t="shared" si="12"/>
        <v>10.434623287790442</v>
      </c>
      <c r="AC125" s="38" t="s">
        <v>574</v>
      </c>
      <c r="AD125">
        <f t="shared" si="13"/>
        <v>10.198990871487156</v>
      </c>
    </row>
    <row r="126" spans="2:30" x14ac:dyDescent="0.3">
      <c r="B126" s="38" t="s">
        <v>175</v>
      </c>
      <c r="C126">
        <f t="shared" si="12"/>
        <v>9.6056668793149544</v>
      </c>
      <c r="AC126" s="38" t="s">
        <v>575</v>
      </c>
      <c r="AD126">
        <f t="shared" si="13"/>
        <v>9.3398891115805593</v>
      </c>
    </row>
    <row r="127" spans="2:30" x14ac:dyDescent="0.3">
      <c r="B127" s="38" t="s">
        <v>176</v>
      </c>
      <c r="C127">
        <f t="shared" si="12"/>
        <v>8.6867940426847081</v>
      </c>
      <c r="AC127" s="38" t="s">
        <v>576</v>
      </c>
      <c r="AD127">
        <f t="shared" si="13"/>
        <v>8.3953589398022448</v>
      </c>
    </row>
    <row r="128" spans="2:30" x14ac:dyDescent="0.3">
      <c r="B128" s="38" t="s">
        <v>177</v>
      </c>
      <c r="C128">
        <f t="shared" si="12"/>
        <v>7.6784675833542764</v>
      </c>
      <c r="AC128" s="38" t="s">
        <v>577</v>
      </c>
      <c r="AD128">
        <f t="shared" si="13"/>
        <v>7.36732042152176</v>
      </c>
    </row>
    <row r="129" spans="2:30" x14ac:dyDescent="0.3">
      <c r="B129" s="38" t="s">
        <v>178</v>
      </c>
      <c r="C129">
        <f t="shared" si="12"/>
        <v>6.6024092815431192</v>
      </c>
      <c r="AC129" s="38" t="s">
        <v>578</v>
      </c>
      <c r="AD129">
        <f t="shared" si="13"/>
        <v>6.2800171195818715</v>
      </c>
    </row>
    <row r="130" spans="2:30" x14ac:dyDescent="0.3">
      <c r="B130" s="38" t="s">
        <v>179</v>
      </c>
      <c r="C130">
        <f t="shared" si="12"/>
        <v>5.5182474980745164</v>
      </c>
      <c r="AC130" s="38" t="s">
        <v>579</v>
      </c>
      <c r="AD130">
        <f t="shared" si="13"/>
        <v>5.1969936717172471</v>
      </c>
    </row>
    <row r="131" spans="2:30" x14ac:dyDescent="0.3">
      <c r="B131" s="38" t="s">
        <v>180</v>
      </c>
      <c r="C131">
        <f t="shared" si="12"/>
        <v>4.042526315710024</v>
      </c>
      <c r="AC131" s="38" t="s">
        <v>580</v>
      </c>
      <c r="AD131">
        <f t="shared" si="13"/>
        <v>3.7432286520486748</v>
      </c>
    </row>
    <row r="132" spans="2:30" x14ac:dyDescent="0.3">
      <c r="B132" s="38" t="s">
        <v>181</v>
      </c>
      <c r="C132">
        <f t="shared" ref="C132:C147" si="14">K4*(1+disc)^-8</f>
        <v>13.220149956784946</v>
      </c>
      <c r="AC132" s="38" t="s">
        <v>581</v>
      </c>
      <c r="AD132">
        <f t="shared" ref="AD132:AD147" si="15">AL4*(1+disc)^-8</f>
        <v>13.167035770864425</v>
      </c>
    </row>
    <row r="133" spans="2:30" x14ac:dyDescent="0.3">
      <c r="B133" s="38" t="s">
        <v>182</v>
      </c>
      <c r="C133">
        <f t="shared" si="14"/>
        <v>13.106895905141293</v>
      </c>
      <c r="AC133" s="38" t="s">
        <v>582</v>
      </c>
      <c r="AD133">
        <f t="shared" si="15"/>
        <v>13.048275761805399</v>
      </c>
    </row>
    <row r="134" spans="2:30" x14ac:dyDescent="0.3">
      <c r="B134" s="38" t="s">
        <v>183</v>
      </c>
      <c r="C134">
        <f t="shared" si="14"/>
        <v>12.927089288047123</v>
      </c>
      <c r="AC134" s="38" t="s">
        <v>583</v>
      </c>
      <c r="AD134">
        <f t="shared" si="15"/>
        <v>12.856638161525092</v>
      </c>
    </row>
    <row r="135" spans="2:30" x14ac:dyDescent="0.3">
      <c r="B135" s="38" t="s">
        <v>184</v>
      </c>
      <c r="C135">
        <f t="shared" si="14"/>
        <v>12.701480993085074</v>
      </c>
      <c r="AC135" s="38" t="s">
        <v>584</v>
      </c>
      <c r="AD135">
        <f t="shared" si="15"/>
        <v>12.616401057527771</v>
      </c>
    </row>
    <row r="136" spans="2:30" x14ac:dyDescent="0.3">
      <c r="B136" s="38" t="s">
        <v>185</v>
      </c>
      <c r="C136">
        <f t="shared" si="14"/>
        <v>12.43329729513548</v>
      </c>
      <c r="AC136" s="38" t="s">
        <v>585</v>
      </c>
      <c r="AD136">
        <f t="shared" si="15"/>
        <v>12.332091600570774</v>
      </c>
    </row>
    <row r="137" spans="2:30" x14ac:dyDescent="0.3">
      <c r="B137" s="38" t="s">
        <v>186</v>
      </c>
      <c r="C137">
        <f t="shared" si="14"/>
        <v>12.108433657567099</v>
      </c>
      <c r="AC137" s="38" t="s">
        <v>586</v>
      </c>
      <c r="AD137">
        <f t="shared" si="15"/>
        <v>11.988812153712088</v>
      </c>
    </row>
    <row r="138" spans="2:30" x14ac:dyDescent="0.3">
      <c r="B138" s="38" t="s">
        <v>187</v>
      </c>
      <c r="C138">
        <f t="shared" si="14"/>
        <v>11.70742889972194</v>
      </c>
      <c r="AC138" s="38" t="s">
        <v>587</v>
      </c>
      <c r="AD138">
        <f t="shared" si="15"/>
        <v>11.565873676007943</v>
      </c>
    </row>
    <row r="139" spans="2:30" x14ac:dyDescent="0.3">
      <c r="B139" s="38" t="s">
        <v>188</v>
      </c>
      <c r="C139">
        <f t="shared" si="14"/>
        <v>11.222480519143751</v>
      </c>
      <c r="AC139" s="38" t="s">
        <v>588</v>
      </c>
      <c r="AD139">
        <f t="shared" si="15"/>
        <v>11.056034961037945</v>
      </c>
    </row>
    <row r="140" spans="2:30" x14ac:dyDescent="0.3">
      <c r="B140" s="38" t="s">
        <v>189</v>
      </c>
      <c r="C140">
        <f t="shared" si="14"/>
        <v>10.642265185799307</v>
      </c>
      <c r="AC140" s="38" t="s">
        <v>589</v>
      </c>
      <c r="AD140">
        <f t="shared" si="15"/>
        <v>10.448360166795894</v>
      </c>
    </row>
    <row r="141" spans="2:30" x14ac:dyDescent="0.3">
      <c r="B141" s="38" t="s">
        <v>190</v>
      </c>
      <c r="C141">
        <f t="shared" si="14"/>
        <v>9.9542781797264404</v>
      </c>
      <c r="AC141" s="38" t="s">
        <v>590</v>
      </c>
      <c r="AD141">
        <f t="shared" si="15"/>
        <v>9.7308152851598138</v>
      </c>
    </row>
    <row r="142" spans="2:30" x14ac:dyDescent="0.3">
      <c r="B142" s="38" t="s">
        <v>191</v>
      </c>
      <c r="C142">
        <f t="shared" si="14"/>
        <v>9.1662158324671861</v>
      </c>
      <c r="AC142" s="38" t="s">
        <v>591</v>
      </c>
      <c r="AD142">
        <f t="shared" si="15"/>
        <v>8.914000845420782</v>
      </c>
    </row>
    <row r="143" spans="2:30" x14ac:dyDescent="0.3">
      <c r="B143" s="38" t="s">
        <v>192</v>
      </c>
      <c r="C143">
        <f t="shared" si="14"/>
        <v>8.2918596081556846</v>
      </c>
      <c r="AC143" s="38" t="s">
        <v>592</v>
      </c>
      <c r="AD143">
        <f t="shared" si="15"/>
        <v>8.0150915921914425</v>
      </c>
    </row>
    <row r="144" spans="2:30" x14ac:dyDescent="0.3">
      <c r="B144" s="38" t="s">
        <v>193</v>
      </c>
      <c r="C144">
        <f t="shared" si="14"/>
        <v>7.3316137866114435</v>
      </c>
      <c r="AC144" s="38" t="s">
        <v>593</v>
      </c>
      <c r="AD144">
        <f t="shared" si="15"/>
        <v>7.0359004381301977</v>
      </c>
    </row>
    <row r="145" spans="2:30" x14ac:dyDescent="0.3">
      <c r="B145" s="38" t="s">
        <v>194</v>
      </c>
      <c r="C145">
        <f t="shared" si="14"/>
        <v>6.3059278587343242</v>
      </c>
      <c r="AC145" s="38" t="s">
        <v>594</v>
      </c>
      <c r="AD145">
        <f t="shared" si="15"/>
        <v>5.9992916537203209</v>
      </c>
    </row>
    <row r="146" spans="2:30" x14ac:dyDescent="0.3">
      <c r="B146" s="38" t="s">
        <v>195</v>
      </c>
      <c r="C146">
        <f t="shared" si="14"/>
        <v>5.271324205982105</v>
      </c>
      <c r="AC146" s="38" t="s">
        <v>595</v>
      </c>
      <c r="AD146">
        <f t="shared" si="15"/>
        <v>4.9655451432307904</v>
      </c>
    </row>
    <row r="147" spans="2:30" x14ac:dyDescent="0.3">
      <c r="B147" s="38" t="s">
        <v>196</v>
      </c>
      <c r="C147">
        <f t="shared" si="14"/>
        <v>3.8614982527852542</v>
      </c>
      <c r="AC147" s="38" t="s">
        <v>596</v>
      </c>
      <c r="AD147">
        <f t="shared" si="15"/>
        <v>3.5763621384269775</v>
      </c>
    </row>
    <row r="148" spans="2:30" x14ac:dyDescent="0.3">
      <c r="B148" s="38" t="s">
        <v>197</v>
      </c>
      <c r="C148">
        <f t="shared" ref="C148:C163" si="16">L4*(1+disc)^-9</f>
        <v>12.595886355870173</v>
      </c>
      <c r="AC148" s="38" t="s">
        <v>597</v>
      </c>
      <c r="AD148">
        <f t="shared" ref="AD148:AD163" si="17">AM4*(1+disc)^-9</f>
        <v>12.545848400920624</v>
      </c>
    </row>
    <row r="149" spans="2:30" x14ac:dyDescent="0.3">
      <c r="B149" s="38" t="s">
        <v>198</v>
      </c>
      <c r="C149">
        <f t="shared" si="16"/>
        <v>12.487864478592662</v>
      </c>
      <c r="AC149" s="38" t="s">
        <v>598</v>
      </c>
      <c r="AD149">
        <f t="shared" si="17"/>
        <v>12.43251793860523</v>
      </c>
    </row>
    <row r="150" spans="2:30" x14ac:dyDescent="0.3">
      <c r="B150" s="38" t="s">
        <v>199</v>
      </c>
      <c r="C150">
        <f t="shared" si="16"/>
        <v>12.317376057815338</v>
      </c>
      <c r="AC150" s="38" t="s">
        <v>599</v>
      </c>
      <c r="AD150">
        <f t="shared" si="17"/>
        <v>12.250808519373795</v>
      </c>
    </row>
    <row r="151" spans="2:30" x14ac:dyDescent="0.3">
      <c r="B151" s="38" t="s">
        <v>200</v>
      </c>
      <c r="C151">
        <f t="shared" si="16"/>
        <v>12.103502392731665</v>
      </c>
      <c r="AC151" s="38" t="s">
        <v>600</v>
      </c>
      <c r="AD151">
        <f t="shared" si="17"/>
        <v>12.023067013472048</v>
      </c>
    </row>
    <row r="152" spans="2:30" x14ac:dyDescent="0.3">
      <c r="B152" s="38" t="s">
        <v>201</v>
      </c>
      <c r="C152">
        <f t="shared" si="16"/>
        <v>11.849135873827347</v>
      </c>
      <c r="AC152" s="38" t="s">
        <v>601</v>
      </c>
      <c r="AD152">
        <f t="shared" si="17"/>
        <v>11.753398388649964</v>
      </c>
    </row>
    <row r="153" spans="2:30" x14ac:dyDescent="0.3">
      <c r="B153" s="38" t="s">
        <v>202</v>
      </c>
      <c r="C153">
        <f t="shared" si="16"/>
        <v>11.540906987064142</v>
      </c>
      <c r="AC153" s="38" t="s">
        <v>602</v>
      </c>
      <c r="AD153">
        <f t="shared" si="17"/>
        <v>11.427682707787989</v>
      </c>
    </row>
    <row r="154" spans="2:30" x14ac:dyDescent="0.3">
      <c r="B154" s="38" t="s">
        <v>203</v>
      </c>
      <c r="C154">
        <f t="shared" si="16"/>
        <v>11.160373910372808</v>
      </c>
      <c r="AC154" s="38" t="s">
        <v>603</v>
      </c>
      <c r="AD154">
        <f t="shared" si="17"/>
        <v>11.02631683135149</v>
      </c>
    </row>
    <row r="155" spans="2:30" x14ac:dyDescent="0.3">
      <c r="B155" s="38" t="s">
        <v>204</v>
      </c>
      <c r="C155">
        <f t="shared" si="16"/>
        <v>10.700015940608475</v>
      </c>
      <c r="AC155" s="38" t="s">
        <v>604</v>
      </c>
      <c r="AD155">
        <f t="shared" si="17"/>
        <v>10.542300215310096</v>
      </c>
    </row>
    <row r="156" spans="2:30" x14ac:dyDescent="0.3">
      <c r="B156" s="38" t="s">
        <v>205</v>
      </c>
      <c r="C156">
        <f t="shared" si="16"/>
        <v>10.149014436568795</v>
      </c>
      <c r="AC156" s="38" t="s">
        <v>605</v>
      </c>
      <c r="AD156">
        <f t="shared" si="17"/>
        <v>9.9651767769589696</v>
      </c>
    </row>
    <row r="157" spans="2:30" x14ac:dyDescent="0.3">
      <c r="B157" s="38" t="s">
        <v>206</v>
      </c>
      <c r="C157">
        <f t="shared" si="16"/>
        <v>9.4954665801692943</v>
      </c>
      <c r="AC157" s="38" t="s">
        <v>606</v>
      </c>
      <c r="AD157">
        <f t="shared" si="17"/>
        <v>9.2834928918817177</v>
      </c>
    </row>
    <row r="158" spans="2:30" x14ac:dyDescent="0.3">
      <c r="B158" s="38" t="s">
        <v>207</v>
      </c>
      <c r="C158">
        <f t="shared" si="16"/>
        <v>8.7463996489177802</v>
      </c>
      <c r="AC158" s="38" t="s">
        <v>607</v>
      </c>
      <c r="AD158">
        <f t="shared" si="17"/>
        <v>8.507014399339786</v>
      </c>
    </row>
    <row r="159" spans="2:30" x14ac:dyDescent="0.3">
      <c r="B159" s="38" t="s">
        <v>208</v>
      </c>
      <c r="C159">
        <f t="shared" si="16"/>
        <v>7.9145829127197809</v>
      </c>
      <c r="AC159" s="38" t="s">
        <v>608</v>
      </c>
      <c r="AD159">
        <f t="shared" si="17"/>
        <v>7.6517174425857046</v>
      </c>
    </row>
    <row r="160" spans="2:30" x14ac:dyDescent="0.3">
      <c r="B160" s="38" t="s">
        <v>209</v>
      </c>
      <c r="C160">
        <f t="shared" si="16"/>
        <v>7.0003384420307819</v>
      </c>
      <c r="AC160" s="38" t="s">
        <v>609</v>
      </c>
      <c r="AD160">
        <f t="shared" si="17"/>
        <v>6.7192822986591372</v>
      </c>
    </row>
    <row r="161" spans="2:30" x14ac:dyDescent="0.3">
      <c r="B161" s="38" t="s">
        <v>210</v>
      </c>
      <c r="C161">
        <f t="shared" si="16"/>
        <v>6.022845089213531</v>
      </c>
      <c r="AC161" s="38" t="s">
        <v>610</v>
      </c>
      <c r="AD161">
        <f t="shared" si="17"/>
        <v>5.7311935712700013</v>
      </c>
    </row>
    <row r="162" spans="2:30" x14ac:dyDescent="0.3">
      <c r="B162" s="38" t="s">
        <v>211</v>
      </c>
      <c r="C162">
        <f t="shared" si="16"/>
        <v>5.035690992093679</v>
      </c>
      <c r="AC162" s="38" t="s">
        <v>611</v>
      </c>
      <c r="AD162">
        <f t="shared" si="17"/>
        <v>4.7446476776367241</v>
      </c>
    </row>
    <row r="163" spans="2:30" x14ac:dyDescent="0.3">
      <c r="B163" s="38" t="s">
        <v>212</v>
      </c>
      <c r="C163">
        <f t="shared" si="16"/>
        <v>3.688783735801251</v>
      </c>
      <c r="AC163" s="38" t="s">
        <v>612</v>
      </c>
      <c r="AD163">
        <f t="shared" si="17"/>
        <v>3.4171458982368477</v>
      </c>
    </row>
    <row r="164" spans="2:30" x14ac:dyDescent="0.3">
      <c r="B164" s="38" t="s">
        <v>213</v>
      </c>
      <c r="C164">
        <f t="shared" ref="C164:C179" si="18">M4*(1+disc)^-10</f>
        <v>12.001110612001218</v>
      </c>
      <c r="AC164" s="38" t="s">
        <v>613</v>
      </c>
      <c r="AD164">
        <f t="shared" ref="AD164:AD179" si="19">AN4*(1+disc)^-10</f>
        <v>11.95397824974418</v>
      </c>
    </row>
    <row r="165" spans="2:30" x14ac:dyDescent="0.3">
      <c r="B165" s="38" t="s">
        <v>214</v>
      </c>
      <c r="C165">
        <f t="shared" si="18"/>
        <v>11.898081533088906</v>
      </c>
      <c r="AC165" s="38" t="s">
        <v>614</v>
      </c>
      <c r="AD165">
        <f t="shared" si="19"/>
        <v>11.845831881539848</v>
      </c>
    </row>
    <row r="166" spans="2:30" x14ac:dyDescent="0.3">
      <c r="B166" s="38" t="s">
        <v>215</v>
      </c>
      <c r="C166">
        <f t="shared" si="18"/>
        <v>11.736434930106224</v>
      </c>
      <c r="AC166" s="38" t="s">
        <v>615</v>
      </c>
      <c r="AD166">
        <f t="shared" si="19"/>
        <v>11.673543464509711</v>
      </c>
    </row>
    <row r="167" spans="2:30" x14ac:dyDescent="0.3">
      <c r="B167" s="38" t="s">
        <v>216</v>
      </c>
      <c r="C167">
        <f t="shared" si="18"/>
        <v>11.533694090415972</v>
      </c>
      <c r="AC167" s="38" t="s">
        <v>616</v>
      </c>
      <c r="AD167">
        <f t="shared" si="19"/>
        <v>11.45765703167709</v>
      </c>
    </row>
    <row r="168" spans="2:30" x14ac:dyDescent="0.3">
      <c r="B168" s="38" t="s">
        <v>217</v>
      </c>
      <c r="C168">
        <f t="shared" si="18"/>
        <v>11.292441973546749</v>
      </c>
      <c r="AC168" s="38" t="s">
        <v>617</v>
      </c>
      <c r="AD168">
        <f t="shared" si="19"/>
        <v>11.201885253429113</v>
      </c>
    </row>
    <row r="169" spans="2:30" x14ac:dyDescent="0.3">
      <c r="B169" s="38" t="s">
        <v>218</v>
      </c>
      <c r="C169">
        <f t="shared" si="18"/>
        <v>11.000006270649095</v>
      </c>
      <c r="AC169" s="38" t="s">
        <v>618</v>
      </c>
      <c r="AD169">
        <f t="shared" si="19"/>
        <v>10.892845832574334</v>
      </c>
    </row>
    <row r="170" spans="2:30" x14ac:dyDescent="0.3">
      <c r="B170" s="38" t="s">
        <v>219</v>
      </c>
      <c r="C170">
        <f t="shared" si="18"/>
        <v>10.638911808223797</v>
      </c>
      <c r="AC170" s="38" t="s">
        <v>619</v>
      </c>
      <c r="AD170">
        <f t="shared" si="19"/>
        <v>10.511965295223851</v>
      </c>
    </row>
    <row r="171" spans="2:30" x14ac:dyDescent="0.3">
      <c r="B171" s="38" t="s">
        <v>220</v>
      </c>
      <c r="C171">
        <f t="shared" si="18"/>
        <v>10.201910506359651</v>
      </c>
      <c r="AC171" s="38" t="s">
        <v>620</v>
      </c>
      <c r="AD171">
        <f t="shared" si="19"/>
        <v>10.052477195325617</v>
      </c>
    </row>
    <row r="172" spans="2:30" x14ac:dyDescent="0.3">
      <c r="B172" s="38" t="s">
        <v>221</v>
      </c>
      <c r="C172">
        <f t="shared" si="18"/>
        <v>9.6786659930951373</v>
      </c>
      <c r="AC172" s="38" t="s">
        <v>621</v>
      </c>
      <c r="AD172">
        <f t="shared" si="19"/>
        <v>9.5043842568102477</v>
      </c>
    </row>
    <row r="173" spans="2:30" x14ac:dyDescent="0.3">
      <c r="B173" s="38" t="s">
        <v>222</v>
      </c>
      <c r="C173">
        <f t="shared" si="18"/>
        <v>9.0578482750918852</v>
      </c>
      <c r="AC173" s="38" t="s">
        <v>622</v>
      </c>
      <c r="AD173">
        <f t="shared" si="19"/>
        <v>8.856785108764532</v>
      </c>
    </row>
    <row r="174" spans="2:30" x14ac:dyDescent="0.3">
      <c r="B174" s="38" t="s">
        <v>223</v>
      </c>
      <c r="C174">
        <f t="shared" si="18"/>
        <v>8.3458605437061255</v>
      </c>
      <c r="AC174" s="38" t="s">
        <v>623</v>
      </c>
      <c r="AD174">
        <f t="shared" si="19"/>
        <v>8.1186648182103696</v>
      </c>
    </row>
    <row r="175" spans="2:30" x14ac:dyDescent="0.3">
      <c r="B175" s="38" t="s">
        <v>224</v>
      </c>
      <c r="C175">
        <f t="shared" si="18"/>
        <v>7.5545231087139673</v>
      </c>
      <c r="AC175" s="38" t="s">
        <v>624</v>
      </c>
      <c r="AD175">
        <f t="shared" si="19"/>
        <v>7.3048739363639728</v>
      </c>
    </row>
    <row r="176" spans="2:30" x14ac:dyDescent="0.3">
      <c r="B176" s="38" t="s">
        <v>225</v>
      </c>
      <c r="C176">
        <f t="shared" si="18"/>
        <v>6.6840811056326386</v>
      </c>
      <c r="AC176" s="38" t="s">
        <v>625</v>
      </c>
      <c r="AD176">
        <f t="shared" si="19"/>
        <v>6.4169668472919223</v>
      </c>
    </row>
    <row r="177" spans="2:30" x14ac:dyDescent="0.3">
      <c r="B177" s="38" t="s">
        <v>226</v>
      </c>
      <c r="C177">
        <f t="shared" si="18"/>
        <v>5.7525145021895803</v>
      </c>
      <c r="AC177" s="38" t="s">
        <v>626</v>
      </c>
      <c r="AD177">
        <f t="shared" si="19"/>
        <v>5.4751249102558219</v>
      </c>
    </row>
    <row r="178" spans="2:30" x14ac:dyDescent="0.3">
      <c r="B178" s="38" t="s">
        <v>227</v>
      </c>
      <c r="C178">
        <f t="shared" si="18"/>
        <v>4.8106257119531497</v>
      </c>
      <c r="AC178" s="38" t="s">
        <v>627</v>
      </c>
      <c r="AD178">
        <f t="shared" si="19"/>
        <v>4.5336151887194154</v>
      </c>
    </row>
    <row r="179" spans="2:30" x14ac:dyDescent="0.3">
      <c r="B179" s="38" t="s">
        <v>228</v>
      </c>
      <c r="C179">
        <f t="shared" si="18"/>
        <v>3.5238140172313295</v>
      </c>
      <c r="AC179" s="38" t="s">
        <v>628</v>
      </c>
      <c r="AD179">
        <f t="shared" si="19"/>
        <v>3.2650393758347218</v>
      </c>
    </row>
    <row r="180" spans="2:30" x14ac:dyDescent="0.3">
      <c r="B180" s="38" t="s">
        <v>229</v>
      </c>
      <c r="C180">
        <f t="shared" ref="C180:C195" si="20">N4*(1+disc)^-11</f>
        <v>11.434429435926516</v>
      </c>
      <c r="AC180" s="38" t="s">
        <v>629</v>
      </c>
      <c r="AD180">
        <f t="shared" ref="AD180:AD195" si="21">AO4*(1+disc)^-11</f>
        <v>11.390041231791509</v>
      </c>
    </row>
    <row r="181" spans="2:30" x14ac:dyDescent="0.3">
      <c r="B181" s="38" t="s">
        <v>230</v>
      </c>
      <c r="C181">
        <f t="shared" si="20"/>
        <v>11.336164629512846</v>
      </c>
      <c r="AC181" s="38" t="s">
        <v>630</v>
      </c>
      <c r="AD181">
        <f t="shared" si="21"/>
        <v>11.286844478905238</v>
      </c>
    </row>
    <row r="182" spans="2:30" x14ac:dyDescent="0.3">
      <c r="B182" s="38" t="s">
        <v>231</v>
      </c>
      <c r="C182">
        <f t="shared" si="20"/>
        <v>11.182907570623454</v>
      </c>
      <c r="AC182" s="38" t="s">
        <v>631</v>
      </c>
      <c r="AD182">
        <f t="shared" si="21"/>
        <v>11.12349552350082</v>
      </c>
    </row>
    <row r="183" spans="2:30" x14ac:dyDescent="0.3">
      <c r="B183" s="38" t="s">
        <v>232</v>
      </c>
      <c r="C183">
        <f t="shared" si="20"/>
        <v>10.990728288264227</v>
      </c>
      <c r="AC183" s="38" t="s">
        <v>632</v>
      </c>
      <c r="AD183">
        <f t="shared" si="21"/>
        <v>10.918856116436807</v>
      </c>
    </row>
    <row r="184" spans="2:30" x14ac:dyDescent="0.3">
      <c r="B184" s="38" t="s">
        <v>233</v>
      </c>
      <c r="C184">
        <f t="shared" si="20"/>
        <v>10.761923194495861</v>
      </c>
      <c r="AC184" s="38" t="s">
        <v>633</v>
      </c>
      <c r="AD184">
        <f t="shared" si="21"/>
        <v>10.676274630620449</v>
      </c>
    </row>
    <row r="185" spans="2:30" x14ac:dyDescent="0.3">
      <c r="B185" s="38" t="s">
        <v>234</v>
      </c>
      <c r="C185">
        <f t="shared" si="20"/>
        <v>10.484481295063755</v>
      </c>
      <c r="AC185" s="38" t="s">
        <v>634</v>
      </c>
      <c r="AD185">
        <f t="shared" si="21"/>
        <v>10.383068391671339</v>
      </c>
    </row>
    <row r="186" spans="2:30" x14ac:dyDescent="0.3">
      <c r="B186" s="38" t="s">
        <v>235</v>
      </c>
      <c r="C186">
        <f t="shared" si="20"/>
        <v>10.141844053800574</v>
      </c>
      <c r="AC186" s="38" t="s">
        <v>635</v>
      </c>
      <c r="AD186">
        <f t="shared" si="21"/>
        <v>10.021640238304313</v>
      </c>
    </row>
    <row r="187" spans="2:30" x14ac:dyDescent="0.3">
      <c r="B187" s="38" t="s">
        <v>236</v>
      </c>
      <c r="C187">
        <f t="shared" si="20"/>
        <v>9.7270270745956484</v>
      </c>
      <c r="AC187" s="38" t="s">
        <v>636</v>
      </c>
      <c r="AD187">
        <f t="shared" si="21"/>
        <v>9.5854513407266246</v>
      </c>
    </row>
    <row r="188" spans="2:30" x14ac:dyDescent="0.3">
      <c r="B188" s="38" t="s">
        <v>237</v>
      </c>
      <c r="C188">
        <f t="shared" si="20"/>
        <v>9.230154827284629</v>
      </c>
      <c r="AC188" s="38" t="s">
        <v>637</v>
      </c>
      <c r="AD188">
        <f t="shared" si="21"/>
        <v>9.0649431870036334</v>
      </c>
    </row>
    <row r="189" spans="2:30" x14ac:dyDescent="0.3">
      <c r="B189" s="38" t="s">
        <v>238</v>
      </c>
      <c r="C189">
        <f t="shared" si="20"/>
        <v>8.6404424747023398</v>
      </c>
      <c r="AC189" s="38" t="s">
        <v>638</v>
      </c>
      <c r="AD189">
        <f t="shared" si="21"/>
        <v>8.4497398980075822</v>
      </c>
    </row>
    <row r="190" spans="2:30" x14ac:dyDescent="0.3">
      <c r="B190" s="38" t="s">
        <v>239</v>
      </c>
      <c r="C190">
        <f t="shared" si="20"/>
        <v>7.9637113763140892</v>
      </c>
      <c r="AC190" s="38" t="s">
        <v>639</v>
      </c>
      <c r="AD190">
        <f t="shared" si="21"/>
        <v>7.7480965047227279</v>
      </c>
    </row>
    <row r="191" spans="2:30" x14ac:dyDescent="0.3">
      <c r="B191" s="38" t="s">
        <v>240</v>
      </c>
      <c r="C191">
        <f t="shared" si="20"/>
        <v>7.2108924631214117</v>
      </c>
      <c r="AC191" s="38" t="s">
        <v>640</v>
      </c>
      <c r="AD191">
        <f t="shared" si="21"/>
        <v>6.9738068242078128</v>
      </c>
    </row>
    <row r="192" spans="2:30" x14ac:dyDescent="0.3">
      <c r="B192" s="38" t="s">
        <v>241</v>
      </c>
      <c r="C192">
        <f t="shared" si="20"/>
        <v>6.3821589549879993</v>
      </c>
      <c r="AC192" s="38" t="s">
        <v>641</v>
      </c>
      <c r="AD192">
        <f t="shared" si="21"/>
        <v>6.1283058129767216</v>
      </c>
    </row>
    <row r="193" spans="2:30" x14ac:dyDescent="0.3">
      <c r="B193" s="38" t="s">
        <v>242</v>
      </c>
      <c r="C193">
        <f t="shared" si="20"/>
        <v>5.4943598467509913</v>
      </c>
      <c r="AC193" s="38" t="s">
        <v>642</v>
      </c>
      <c r="AD193">
        <f t="shared" si="21"/>
        <v>5.2305439751886951</v>
      </c>
    </row>
    <row r="194" spans="2:30" x14ac:dyDescent="0.3">
      <c r="B194" s="38" t="s">
        <v>243</v>
      </c>
      <c r="C194">
        <f t="shared" si="20"/>
        <v>4.5956529659163401</v>
      </c>
      <c r="AC194" s="38" t="s">
        <v>643</v>
      </c>
      <c r="AD194">
        <f t="shared" si="21"/>
        <v>4.3320055779621205</v>
      </c>
    </row>
    <row r="195" spans="2:30" x14ac:dyDescent="0.3">
      <c r="B195" s="38" t="s">
        <v>244</v>
      </c>
      <c r="C195">
        <f t="shared" si="20"/>
        <v>3.3662409662656199</v>
      </c>
      <c r="AC195" s="38" t="s">
        <v>644</v>
      </c>
      <c r="AD195">
        <f t="shared" si="21"/>
        <v>3.1197241869258208</v>
      </c>
    </row>
    <row r="196" spans="2:30" x14ac:dyDescent="0.3">
      <c r="B196" s="38" t="s">
        <v>245</v>
      </c>
      <c r="C196">
        <f t="shared" ref="C196:C211" si="22">O4*(1+disc)^-12</f>
        <v>10.894515386859744</v>
      </c>
      <c r="AC196" s="38" t="s">
        <v>645</v>
      </c>
      <c r="AD196">
        <f t="shared" ref="AD196:AD211" si="23">AP4*(1+disc)^-12</f>
        <v>10.852718623185391</v>
      </c>
    </row>
    <row r="197" spans="2:30" x14ac:dyDescent="0.3">
      <c r="B197" s="38" t="s">
        <v>246</v>
      </c>
      <c r="C197">
        <f t="shared" si="22"/>
        <v>10.800796689970884</v>
      </c>
      <c r="AC197" s="38" t="s">
        <v>646</v>
      </c>
      <c r="AD197">
        <f t="shared" si="23"/>
        <v>10.754247495651788</v>
      </c>
    </row>
    <row r="198" spans="2:30" x14ac:dyDescent="0.3">
      <c r="B198" s="38" t="s">
        <v>247</v>
      </c>
      <c r="C198">
        <f t="shared" si="22"/>
        <v>10.655499796316063</v>
      </c>
      <c r="AC198" s="38" t="s">
        <v>647</v>
      </c>
      <c r="AD198">
        <f t="shared" si="23"/>
        <v>10.599380814004951</v>
      </c>
    </row>
    <row r="199" spans="2:30" x14ac:dyDescent="0.3">
      <c r="B199" s="38" t="s">
        <v>248</v>
      </c>
      <c r="C199">
        <f t="shared" si="22"/>
        <v>10.473339802942663</v>
      </c>
      <c r="AC199" s="38" t="s">
        <v>648</v>
      </c>
      <c r="AD199">
        <f t="shared" si="23"/>
        <v>10.405411230108678</v>
      </c>
    </row>
    <row r="200" spans="2:30" x14ac:dyDescent="0.3">
      <c r="B200" s="38" t="s">
        <v>249</v>
      </c>
      <c r="C200">
        <f t="shared" si="22"/>
        <v>10.256347981948769</v>
      </c>
      <c r="AC200" s="38" t="s">
        <v>649</v>
      </c>
      <c r="AD200">
        <f t="shared" si="23"/>
        <v>10.175349045173034</v>
      </c>
    </row>
    <row r="201" spans="2:30" x14ac:dyDescent="0.3">
      <c r="B201" s="38" t="s">
        <v>250</v>
      </c>
      <c r="C201">
        <f t="shared" si="22"/>
        <v>9.9931405924694214</v>
      </c>
      <c r="AC201" s="38" t="s">
        <v>650</v>
      </c>
      <c r="AD201">
        <f t="shared" si="23"/>
        <v>9.8971751299378106</v>
      </c>
    </row>
    <row r="202" spans="2:30" x14ac:dyDescent="0.3">
      <c r="B202" s="38" t="s">
        <v>251</v>
      </c>
      <c r="C202">
        <f t="shared" si="22"/>
        <v>9.6680282861048585</v>
      </c>
      <c r="AC202" s="38" t="s">
        <v>651</v>
      </c>
      <c r="AD202">
        <f t="shared" si="23"/>
        <v>9.5542180188047272</v>
      </c>
    </row>
    <row r="203" spans="2:30" x14ac:dyDescent="0.3">
      <c r="B203" s="38" t="s">
        <v>252</v>
      </c>
      <c r="C203">
        <f t="shared" si="22"/>
        <v>9.2742816459318611</v>
      </c>
      <c r="AC203" s="38" t="s">
        <v>652</v>
      </c>
      <c r="AD203">
        <f t="shared" si="23"/>
        <v>9.1401601060619342</v>
      </c>
    </row>
    <row r="204" spans="2:30" x14ac:dyDescent="0.3">
      <c r="B204" s="38" t="s">
        <v>253</v>
      </c>
      <c r="C204">
        <f t="shared" si="22"/>
        <v>8.8024655045691329</v>
      </c>
      <c r="AC204" s="38" t="s">
        <v>653</v>
      </c>
      <c r="AD204">
        <f t="shared" si="23"/>
        <v>8.6458624722871811</v>
      </c>
    </row>
    <row r="205" spans="2:30" x14ac:dyDescent="0.3">
      <c r="B205" s="38" t="s">
        <v>254</v>
      </c>
      <c r="C205">
        <f t="shared" si="22"/>
        <v>8.2423138526303745</v>
      </c>
      <c r="AC205" s="38" t="s">
        <v>654</v>
      </c>
      <c r="AD205">
        <f t="shared" si="23"/>
        <v>8.0614492701430169</v>
      </c>
    </row>
    <row r="206" spans="2:30" x14ac:dyDescent="0.3">
      <c r="B206" s="38" t="s">
        <v>255</v>
      </c>
      <c r="C206">
        <f t="shared" si="22"/>
        <v>7.599105912694843</v>
      </c>
      <c r="AC206" s="38" t="s">
        <v>655</v>
      </c>
      <c r="AD206">
        <f t="shared" si="23"/>
        <v>7.3944932274946353</v>
      </c>
    </row>
    <row r="207" spans="2:30" x14ac:dyDescent="0.3">
      <c r="B207" s="38" t="s">
        <v>256</v>
      </c>
      <c r="C207">
        <f t="shared" si="22"/>
        <v>6.8829393671701622</v>
      </c>
      <c r="AC207" s="38" t="s">
        <v>656</v>
      </c>
      <c r="AD207">
        <f t="shared" si="23"/>
        <v>6.6577963602450243</v>
      </c>
    </row>
    <row r="208" spans="2:30" x14ac:dyDescent="0.3">
      <c r="B208" s="38" t="s">
        <v>257</v>
      </c>
      <c r="C208">
        <f t="shared" si="22"/>
        <v>6.0939202944877593</v>
      </c>
      <c r="AC208" s="38" t="s">
        <v>657</v>
      </c>
      <c r="AD208">
        <f t="shared" si="23"/>
        <v>5.8526803943392123</v>
      </c>
    </row>
    <row r="209" spans="2:30" x14ac:dyDescent="0.3">
      <c r="B209" s="38" t="s">
        <v>258</v>
      </c>
      <c r="C209">
        <f t="shared" si="22"/>
        <v>5.247830985173267</v>
      </c>
      <c r="AC209" s="38" t="s">
        <v>658</v>
      </c>
      <c r="AD209">
        <f t="shared" si="23"/>
        <v>4.9969335416199216</v>
      </c>
    </row>
    <row r="210" spans="2:30" x14ac:dyDescent="0.3">
      <c r="B210" s="38" t="s">
        <v>259</v>
      </c>
      <c r="C210">
        <f t="shared" si="22"/>
        <v>4.3903187995273951</v>
      </c>
      <c r="AC210" s="38" t="s">
        <v>659</v>
      </c>
      <c r="AD210">
        <f t="shared" si="23"/>
        <v>4.1393966220429705</v>
      </c>
    </row>
    <row r="211" spans="2:30" x14ac:dyDescent="0.3">
      <c r="B211" s="38" t="s">
        <v>260</v>
      </c>
      <c r="C211">
        <f t="shared" si="22"/>
        <v>3.2157321364953044</v>
      </c>
      <c r="AC211" s="38" t="s">
        <v>660</v>
      </c>
      <c r="AD211">
        <f t="shared" si="23"/>
        <v>2.9808962427938943</v>
      </c>
    </row>
    <row r="212" spans="2:30" x14ac:dyDescent="0.3">
      <c r="B212" s="38" t="s">
        <v>261</v>
      </c>
      <c r="C212">
        <f t="shared" ref="C212:C227" si="24">P4*(1+disc)^-13</f>
        <v>10.380103759739344</v>
      </c>
      <c r="AC212" s="38" t="s">
        <v>661</v>
      </c>
      <c r="AD212">
        <f t="shared" ref="AD212:AD227" si="25">AQ4*(1+disc)^-13</f>
        <v>10.340753974353666</v>
      </c>
    </row>
    <row r="213" spans="2:30" x14ac:dyDescent="0.3">
      <c r="B213" s="38" t="s">
        <v>262</v>
      </c>
      <c r="C213">
        <f t="shared" si="24"/>
        <v>10.290722906721088</v>
      </c>
      <c r="AC213" s="38" t="s">
        <v>662</v>
      </c>
      <c r="AD213">
        <f t="shared" si="25"/>
        <v>10.246794507191847</v>
      </c>
    </row>
    <row r="214" spans="2:30" x14ac:dyDescent="0.3">
      <c r="B214" s="38" t="s">
        <v>263</v>
      </c>
      <c r="C214">
        <f t="shared" si="24"/>
        <v>10.15297854465684</v>
      </c>
      <c r="AC214" s="38" t="s">
        <v>663</v>
      </c>
      <c r="AD214">
        <f t="shared" si="25"/>
        <v>10.099976042626055</v>
      </c>
    </row>
    <row r="215" spans="2:30" x14ac:dyDescent="0.3">
      <c r="B215" s="38" t="s">
        <v>264</v>
      </c>
      <c r="C215">
        <f t="shared" si="24"/>
        <v>9.9803231117620594</v>
      </c>
      <c r="AC215" s="38" t="s">
        <v>664</v>
      </c>
      <c r="AD215">
        <f t="shared" si="25"/>
        <v>9.9161283725387417</v>
      </c>
    </row>
    <row r="216" spans="2:30" x14ac:dyDescent="0.3">
      <c r="B216" s="38" t="s">
        <v>265</v>
      </c>
      <c r="C216">
        <f t="shared" si="24"/>
        <v>9.7745427602740307</v>
      </c>
      <c r="AC216" s="38" t="s">
        <v>665</v>
      </c>
      <c r="AD216">
        <f t="shared" si="25"/>
        <v>9.6979482834366006</v>
      </c>
    </row>
    <row r="217" spans="2:30" x14ac:dyDescent="0.3">
      <c r="B217" s="38" t="s">
        <v>266</v>
      </c>
      <c r="C217">
        <f t="shared" si="24"/>
        <v>9.5248486783752266</v>
      </c>
      <c r="AC217" s="38" t="s">
        <v>666</v>
      </c>
      <c r="AD217">
        <f t="shared" si="25"/>
        <v>9.4340459547601725</v>
      </c>
    </row>
    <row r="218" spans="2:30" x14ac:dyDescent="0.3">
      <c r="B218" s="38" t="s">
        <v>267</v>
      </c>
      <c r="C218">
        <f t="shared" si="24"/>
        <v>9.2163756873579512</v>
      </c>
      <c r="AC218" s="38" t="s">
        <v>667</v>
      </c>
      <c r="AD218">
        <f t="shared" si="25"/>
        <v>9.1086275966172607</v>
      </c>
    </row>
    <row r="219" spans="2:30" x14ac:dyDescent="0.3">
      <c r="B219" s="38" t="s">
        <v>268</v>
      </c>
      <c r="C219">
        <f t="shared" si="24"/>
        <v>8.8426408775112844</v>
      </c>
      <c r="AC219" s="38" t="s">
        <v>668</v>
      </c>
      <c r="AD219">
        <f t="shared" si="25"/>
        <v>8.7155905307555166</v>
      </c>
    </row>
    <row r="220" spans="2:30" x14ac:dyDescent="0.3">
      <c r="B220" s="38" t="s">
        <v>269</v>
      </c>
      <c r="C220">
        <f t="shared" si="24"/>
        <v>8.3946298718520325</v>
      </c>
      <c r="AC220" s="38" t="s">
        <v>669</v>
      </c>
      <c r="AD220">
        <f t="shared" si="25"/>
        <v>8.2461970919171996</v>
      </c>
    </row>
    <row r="221" spans="2:30" x14ac:dyDescent="0.3">
      <c r="B221" s="38" t="s">
        <v>270</v>
      </c>
      <c r="C221">
        <f t="shared" si="24"/>
        <v>7.8625704355025103</v>
      </c>
      <c r="AC221" s="38" t="s">
        <v>670</v>
      </c>
      <c r="AD221">
        <f t="shared" si="25"/>
        <v>7.6910472427847836</v>
      </c>
    </row>
    <row r="222" spans="2:30" x14ac:dyDescent="0.3">
      <c r="B222" s="38" t="s">
        <v>271</v>
      </c>
      <c r="C222">
        <f t="shared" si="24"/>
        <v>7.2512369358094926</v>
      </c>
      <c r="AC222" s="38" t="s">
        <v>671</v>
      </c>
      <c r="AD222">
        <f t="shared" si="25"/>
        <v>7.0570763063772164</v>
      </c>
    </row>
    <row r="223" spans="2:30" x14ac:dyDescent="0.3">
      <c r="B223" s="38" t="s">
        <v>272</v>
      </c>
      <c r="C223">
        <f t="shared" si="24"/>
        <v>6.5699466763655776</v>
      </c>
      <c r="AC223" s="38" t="s">
        <v>672</v>
      </c>
      <c r="AD223">
        <f t="shared" si="25"/>
        <v>6.356155720098009</v>
      </c>
    </row>
    <row r="224" spans="2:30" x14ac:dyDescent="0.3">
      <c r="B224" s="38" t="s">
        <v>273</v>
      </c>
      <c r="C224">
        <f t="shared" si="24"/>
        <v>5.8187431331085069</v>
      </c>
      <c r="AC224" s="38" t="s">
        <v>673</v>
      </c>
      <c r="AD224">
        <f t="shared" si="25"/>
        <v>5.5894999165355772</v>
      </c>
    </row>
    <row r="225" spans="2:30" x14ac:dyDescent="0.3">
      <c r="B225" s="38" t="s">
        <v>274</v>
      </c>
      <c r="C225">
        <f t="shared" si="24"/>
        <v>5.0124027065785111</v>
      </c>
      <c r="AC225" s="38" t="s">
        <v>674</v>
      </c>
      <c r="AD225">
        <f t="shared" si="25"/>
        <v>4.773799747511732</v>
      </c>
    </row>
    <row r="226" spans="2:30" x14ac:dyDescent="0.3">
      <c r="B226" s="38" t="s">
        <v>275</v>
      </c>
      <c r="C226">
        <f t="shared" si="24"/>
        <v>4.1941897336806866</v>
      </c>
      <c r="AC226" s="38" t="s">
        <v>675</v>
      </c>
      <c r="AD226">
        <f t="shared" si="25"/>
        <v>3.955385076768795</v>
      </c>
    </row>
    <row r="227" spans="2:30" x14ac:dyDescent="0.3">
      <c r="B227" s="38" t="s">
        <v>276</v>
      </c>
      <c r="C227">
        <f t="shared" si="24"/>
        <v>3.071970057756733</v>
      </c>
      <c r="AC227" s="38" t="s">
        <v>676</v>
      </c>
      <c r="AD227">
        <f t="shared" si="25"/>
        <v>2.848265106840723</v>
      </c>
    </row>
    <row r="228" spans="2:30" x14ac:dyDescent="0.3">
      <c r="B228" s="38" t="s">
        <v>277</v>
      </c>
      <c r="C228">
        <f t="shared" ref="C228:C243" si="26">Q4*(1+disc)^-14</f>
        <v>9.8895395860558839</v>
      </c>
      <c r="AC228" s="38" t="s">
        <v>677</v>
      </c>
      <c r="AD228">
        <f t="shared" ref="AD228:AD243" si="27">AR4*(1+disc)^-14</f>
        <v>9.8524405867753853</v>
      </c>
    </row>
    <row r="229" spans="2:30" x14ac:dyDescent="0.3">
      <c r="B229" s="38" t="s">
        <v>278</v>
      </c>
      <c r="C229">
        <f t="shared" si="26"/>
        <v>9.8043958403429681</v>
      </c>
      <c r="AC229" s="38" t="s">
        <v>678</v>
      </c>
      <c r="AD229">
        <f t="shared" si="27"/>
        <v>9.7628999435808446</v>
      </c>
    </row>
    <row r="230" spans="2:30" x14ac:dyDescent="0.3">
      <c r="B230" s="38" t="s">
        <v>279</v>
      </c>
      <c r="C230">
        <f t="shared" si="26"/>
        <v>9.6738055056928367</v>
      </c>
      <c r="AC230" s="38" t="s">
        <v>679</v>
      </c>
      <c r="AD230">
        <f t="shared" si="27"/>
        <v>9.623704790328059</v>
      </c>
    </row>
    <row r="231" spans="2:30" x14ac:dyDescent="0.3">
      <c r="B231" s="38" t="s">
        <v>280</v>
      </c>
      <c r="C231">
        <f t="shared" si="26"/>
        <v>9.5101460856466815</v>
      </c>
      <c r="AC231" s="38" t="s">
        <v>680</v>
      </c>
      <c r="AD231">
        <f t="shared" si="27"/>
        <v>9.4494364732724332</v>
      </c>
    </row>
    <row r="232" spans="2:30" x14ac:dyDescent="0.3">
      <c r="B232" s="38" t="s">
        <v>281</v>
      </c>
      <c r="C232">
        <f t="shared" si="26"/>
        <v>9.3150078493136661</v>
      </c>
      <c r="AC232" s="38" t="s">
        <v>681</v>
      </c>
      <c r="AD232">
        <f t="shared" si="27"/>
        <v>9.2425357165234292</v>
      </c>
    </row>
    <row r="233" spans="2:30" x14ac:dyDescent="0.3">
      <c r="B233" s="38" t="s">
        <v>282</v>
      </c>
      <c r="C233">
        <f t="shared" si="26"/>
        <v>9.0781639628534467</v>
      </c>
      <c r="AC233" s="38" t="s">
        <v>682</v>
      </c>
      <c r="AD233">
        <f t="shared" si="27"/>
        <v>8.9922068192457996</v>
      </c>
    </row>
    <row r="234" spans="2:30" x14ac:dyDescent="0.3">
      <c r="B234" s="38" t="s">
        <v>283</v>
      </c>
      <c r="C234">
        <f t="shared" si="26"/>
        <v>8.7855206631265421</v>
      </c>
      <c r="AC234" s="38" t="s">
        <v>683</v>
      </c>
      <c r="AD234">
        <f t="shared" si="27"/>
        <v>8.6834766069762743</v>
      </c>
    </row>
    <row r="235" spans="2:30" x14ac:dyDescent="0.3">
      <c r="B235" s="38" t="s">
        <v>284</v>
      </c>
      <c r="C235">
        <f t="shared" si="26"/>
        <v>8.4308323919482291</v>
      </c>
      <c r="AC235" s="38" t="s">
        <v>684</v>
      </c>
      <c r="AD235">
        <f t="shared" si="27"/>
        <v>8.3104498729373102</v>
      </c>
    </row>
    <row r="236" spans="2:30" x14ac:dyDescent="0.3">
      <c r="B236" s="38" t="s">
        <v>285</v>
      </c>
      <c r="C236">
        <f t="shared" si="26"/>
        <v>8.0054835579580406</v>
      </c>
      <c r="AC236" s="38" t="s">
        <v>685</v>
      </c>
      <c r="AD236">
        <f t="shared" si="27"/>
        <v>7.8647686789567155</v>
      </c>
    </row>
    <row r="237" spans="2:30" x14ac:dyDescent="0.3">
      <c r="B237" s="38" t="s">
        <v>286</v>
      </c>
      <c r="C237">
        <f t="shared" si="26"/>
        <v>7.5001734128384765</v>
      </c>
      <c r="AC237" s="38" t="s">
        <v>686</v>
      </c>
      <c r="AD237">
        <f t="shared" si="27"/>
        <v>7.3374871534868973</v>
      </c>
    </row>
    <row r="238" spans="2:30" x14ac:dyDescent="0.3">
      <c r="B238" s="38" t="s">
        <v>287</v>
      </c>
      <c r="C238">
        <f t="shared" si="26"/>
        <v>6.9192189322243847</v>
      </c>
      <c r="AC238" s="38" t="s">
        <v>687</v>
      </c>
      <c r="AD238">
        <f t="shared" si="27"/>
        <v>6.7349587908286619</v>
      </c>
    </row>
    <row r="239" spans="2:30" x14ac:dyDescent="0.3">
      <c r="B239" s="38" t="s">
        <v>288</v>
      </c>
      <c r="C239">
        <f t="shared" si="26"/>
        <v>6.2712103557621663</v>
      </c>
      <c r="AC239" s="38" t="s">
        <v>688</v>
      </c>
      <c r="AD239">
        <f t="shared" si="27"/>
        <v>6.0681855701346805</v>
      </c>
    </row>
    <row r="240" spans="2:30" x14ac:dyDescent="0.3">
      <c r="B240" s="38" t="s">
        <v>289</v>
      </c>
      <c r="C240">
        <f t="shared" si="26"/>
        <v>5.5561263416472055</v>
      </c>
      <c r="AC240" s="38" t="s">
        <v>689</v>
      </c>
      <c r="AD240">
        <f t="shared" si="27"/>
        <v>5.338272426705938</v>
      </c>
    </row>
    <row r="241" spans="2:30" x14ac:dyDescent="0.3">
      <c r="B241" s="38" t="s">
        <v>290</v>
      </c>
      <c r="C241">
        <f t="shared" si="26"/>
        <v>4.7878122667936154</v>
      </c>
      <c r="AC241" s="38" t="s">
        <v>690</v>
      </c>
      <c r="AD241">
        <f t="shared" si="27"/>
        <v>4.5608933708769452</v>
      </c>
    </row>
    <row r="242" spans="2:30" x14ac:dyDescent="0.3">
      <c r="B242" s="38" t="s">
        <v>291</v>
      </c>
      <c r="C242">
        <f t="shared" si="26"/>
        <v>4.0072315122249309</v>
      </c>
      <c r="AC242" s="38" t="s">
        <v>691</v>
      </c>
      <c r="AD242">
        <f t="shared" si="27"/>
        <v>3.779951381058873</v>
      </c>
    </row>
    <row r="243" spans="2:30" x14ac:dyDescent="0.3">
      <c r="B243" s="38" t="s">
        <v>292</v>
      </c>
      <c r="C243">
        <f t="shared" si="26"/>
        <v>2.9351768325004488</v>
      </c>
      <c r="AC243" s="38" t="s">
        <v>692</v>
      </c>
      <c r="AD243">
        <f t="shared" si="27"/>
        <v>2.7220661218317188</v>
      </c>
    </row>
    <row r="244" spans="2:30" x14ac:dyDescent="0.3">
      <c r="B244" s="38" t="s">
        <v>293</v>
      </c>
      <c r="C244">
        <f t="shared" ref="C244:C259" si="28">R4*(1+disc)^-15</f>
        <v>9.42216714350287</v>
      </c>
      <c r="AC244" s="38" t="s">
        <v>693</v>
      </c>
      <c r="AD244">
        <f t="shared" ref="AD244:AD259" si="29">AS4*(1+disc)^-15</f>
        <v>9.3871951714911361</v>
      </c>
    </row>
    <row r="245" spans="2:30" x14ac:dyDescent="0.3">
      <c r="B245" s="38" t="s">
        <v>294</v>
      </c>
      <c r="C245">
        <f t="shared" si="28"/>
        <v>9.341061448349377</v>
      </c>
      <c r="AC245" s="38" t="s">
        <v>694</v>
      </c>
      <c r="AD245">
        <f t="shared" si="29"/>
        <v>9.3018675833044195</v>
      </c>
    </row>
    <row r="246" spans="2:30" x14ac:dyDescent="0.3">
      <c r="B246" s="38" t="s">
        <v>295</v>
      </c>
      <c r="C246">
        <f t="shared" si="28"/>
        <v>9.2172588200151839</v>
      </c>
      <c r="AC246" s="38" t="s">
        <v>695</v>
      </c>
      <c r="AD246">
        <f t="shared" si="29"/>
        <v>9.1699056673060824</v>
      </c>
    </row>
    <row r="247" spans="2:30" x14ac:dyDescent="0.3">
      <c r="B247" s="38" t="s">
        <v>296</v>
      </c>
      <c r="C247">
        <f t="shared" si="28"/>
        <v>9.0621335178277693</v>
      </c>
      <c r="AC247" s="38" t="s">
        <v>696</v>
      </c>
      <c r="AD247">
        <f t="shared" si="29"/>
        <v>9.00472508743327</v>
      </c>
    </row>
    <row r="248" spans="2:30" x14ac:dyDescent="0.3">
      <c r="B248" s="38" t="s">
        <v>297</v>
      </c>
      <c r="C248">
        <f t="shared" si="28"/>
        <v>8.8770945603335285</v>
      </c>
      <c r="AC248" s="38" t="s">
        <v>697</v>
      </c>
      <c r="AD248">
        <f t="shared" si="29"/>
        <v>8.8085287938009476</v>
      </c>
    </row>
    <row r="249" spans="2:30" x14ac:dyDescent="0.3">
      <c r="B249" s="38" t="s">
        <v>298</v>
      </c>
      <c r="C249">
        <f t="shared" si="28"/>
        <v>8.6524482079136487</v>
      </c>
      <c r="AC249" s="38" t="s">
        <v>698</v>
      </c>
      <c r="AD249">
        <f t="shared" si="29"/>
        <v>8.5710846433176435</v>
      </c>
    </row>
    <row r="250" spans="2:30" x14ac:dyDescent="0.3">
      <c r="B250" s="38" t="s">
        <v>299</v>
      </c>
      <c r="C250">
        <f t="shared" si="28"/>
        <v>8.3748325519170717</v>
      </c>
      <c r="AC250" s="38" t="s">
        <v>699</v>
      </c>
      <c r="AD250">
        <f t="shared" si="29"/>
        <v>8.2781979570829929</v>
      </c>
    </row>
    <row r="251" spans="2:30" x14ac:dyDescent="0.3">
      <c r="B251" s="38" t="s">
        <v>300</v>
      </c>
      <c r="C251">
        <f t="shared" si="28"/>
        <v>8.0382314829703869</v>
      </c>
      <c r="AC251" s="38" t="s">
        <v>700</v>
      </c>
      <c r="AD251">
        <f t="shared" si="29"/>
        <v>7.9241750573591787</v>
      </c>
    </row>
    <row r="252" spans="2:30" x14ac:dyDescent="0.3">
      <c r="B252" s="38" t="s">
        <v>301</v>
      </c>
      <c r="C252">
        <f t="shared" si="28"/>
        <v>7.6344106520327752</v>
      </c>
      <c r="AC252" s="38" t="s">
        <v>701</v>
      </c>
      <c r="AD252">
        <f t="shared" si="29"/>
        <v>7.5010213554559302</v>
      </c>
    </row>
    <row r="253" spans="2:30" x14ac:dyDescent="0.3">
      <c r="B253" s="38" t="s">
        <v>302</v>
      </c>
      <c r="C253">
        <f t="shared" si="28"/>
        <v>7.1545179969054438</v>
      </c>
      <c r="AC253" s="38" t="s">
        <v>702</v>
      </c>
      <c r="AD253">
        <f t="shared" si="29"/>
        <v>7.0002231250881808</v>
      </c>
    </row>
    <row r="254" spans="2:30" x14ac:dyDescent="0.3">
      <c r="B254" s="38" t="s">
        <v>303</v>
      </c>
      <c r="C254">
        <f t="shared" si="28"/>
        <v>6.6024448651224068</v>
      </c>
      <c r="AC254" s="38" t="s">
        <v>703</v>
      </c>
      <c r="AD254">
        <f t="shared" si="29"/>
        <v>6.4275905629354284</v>
      </c>
    </row>
    <row r="255" spans="2:30" x14ac:dyDescent="0.3">
      <c r="B255" s="38" t="s">
        <v>304</v>
      </c>
      <c r="C255">
        <f t="shared" si="28"/>
        <v>5.9861010133027905</v>
      </c>
      <c r="AC255" s="38" t="s">
        <v>704</v>
      </c>
      <c r="AD255">
        <f t="shared" si="29"/>
        <v>5.7933103059795057</v>
      </c>
    </row>
    <row r="256" spans="2:30" x14ac:dyDescent="0.3">
      <c r="B256" s="38" t="s">
        <v>305</v>
      </c>
      <c r="C256">
        <f t="shared" si="28"/>
        <v>5.3054049858425225</v>
      </c>
      <c r="AC256" s="38" t="s">
        <v>705</v>
      </c>
      <c r="AD256">
        <f t="shared" si="29"/>
        <v>5.0983839691276422</v>
      </c>
    </row>
    <row r="257" spans="2:30" x14ac:dyDescent="0.3">
      <c r="B257" s="38" t="s">
        <v>306</v>
      </c>
      <c r="C257">
        <f t="shared" si="28"/>
        <v>4.5733238841233295</v>
      </c>
      <c r="AC257" s="38" t="s">
        <v>706</v>
      </c>
      <c r="AD257">
        <f t="shared" si="29"/>
        <v>4.3575250945418986</v>
      </c>
    </row>
    <row r="258" spans="2:30" x14ac:dyDescent="0.3">
      <c r="B258" s="38" t="s">
        <v>307</v>
      </c>
      <c r="C258">
        <f t="shared" si="28"/>
        <v>3.8286384602322894</v>
      </c>
      <c r="AC258" s="38" t="s">
        <v>707</v>
      </c>
      <c r="AD258">
        <f t="shared" si="29"/>
        <v>3.6123330215795928</v>
      </c>
    </row>
    <row r="259" spans="2:30" x14ac:dyDescent="0.3">
      <c r="B259" s="38" t="s">
        <v>308</v>
      </c>
      <c r="C259">
        <f t="shared" si="28"/>
        <v>2.8044932636317816</v>
      </c>
      <c r="AC259" s="38" t="s">
        <v>708</v>
      </c>
      <c r="AD259">
        <f t="shared" si="29"/>
        <v>2.601478701533162</v>
      </c>
    </row>
    <row r="260" spans="2:30" x14ac:dyDescent="0.3">
      <c r="B260" s="38" t="s">
        <v>309</v>
      </c>
      <c r="C260">
        <f t="shared" ref="C260:C275" si="30">S4*(1+disc)^-16</f>
        <v>8.9768897221538513</v>
      </c>
      <c r="AC260" s="38" t="s">
        <v>709</v>
      </c>
      <c r="AD260">
        <f t="shared" ref="AD260:AD275" si="31">AT4*(1+disc)^-16</f>
        <v>8.9439276503771001</v>
      </c>
    </row>
    <row r="261" spans="2:30" x14ac:dyDescent="0.3">
      <c r="B261" s="38" t="s">
        <v>310</v>
      </c>
      <c r="C261">
        <f t="shared" si="30"/>
        <v>8.8996322999250932</v>
      </c>
      <c r="AC261" s="38" t="s">
        <v>710</v>
      </c>
      <c r="AD261">
        <f t="shared" si="31"/>
        <v>8.8626168476687841</v>
      </c>
    </row>
    <row r="262" spans="2:30" x14ac:dyDescent="0.3">
      <c r="B262" s="38" t="s">
        <v>311</v>
      </c>
      <c r="C262">
        <f t="shared" si="30"/>
        <v>8.7822696155420523</v>
      </c>
      <c r="AC262" s="38" t="s">
        <v>711</v>
      </c>
      <c r="AD262">
        <f t="shared" si="31"/>
        <v>8.7375178387750871</v>
      </c>
    </row>
    <row r="263" spans="2:30" x14ac:dyDescent="0.3">
      <c r="B263" s="38" t="s">
        <v>312</v>
      </c>
      <c r="C263">
        <f t="shared" si="30"/>
        <v>8.6352399928817931</v>
      </c>
      <c r="AC263" s="38" t="s">
        <v>712</v>
      </c>
      <c r="AD263">
        <f t="shared" si="31"/>
        <v>8.5809583286083786</v>
      </c>
    </row>
    <row r="264" spans="2:30" x14ac:dyDescent="0.3">
      <c r="B264" s="38" t="s">
        <v>313</v>
      </c>
      <c r="C264">
        <f t="shared" si="30"/>
        <v>8.4597848824455966</v>
      </c>
      <c r="AC264" s="38" t="s">
        <v>713</v>
      </c>
      <c r="AD264">
        <f t="shared" si="31"/>
        <v>8.3949206205243279</v>
      </c>
    </row>
    <row r="265" spans="2:30" x14ac:dyDescent="0.3">
      <c r="B265" s="38" t="s">
        <v>314</v>
      </c>
      <c r="C265">
        <f t="shared" si="30"/>
        <v>8.2467162246938148</v>
      </c>
      <c r="AC265" s="38" t="s">
        <v>714</v>
      </c>
      <c r="AD265">
        <f t="shared" si="31"/>
        <v>8.1697071230761189</v>
      </c>
    </row>
    <row r="266" spans="2:30" x14ac:dyDescent="0.3">
      <c r="B266" s="38" t="s">
        <v>315</v>
      </c>
      <c r="C266">
        <f t="shared" si="30"/>
        <v>7.9833664149773425</v>
      </c>
      <c r="AC266" s="38" t="s">
        <v>715</v>
      </c>
      <c r="AD266">
        <f t="shared" si="31"/>
        <v>7.8918616750862807</v>
      </c>
    </row>
    <row r="267" spans="2:30" x14ac:dyDescent="0.3">
      <c r="B267" s="38" t="s">
        <v>316</v>
      </c>
      <c r="C267">
        <f t="shared" si="30"/>
        <v>7.6639411048398305</v>
      </c>
      <c r="AC267" s="38" t="s">
        <v>716</v>
      </c>
      <c r="AD267">
        <f t="shared" si="31"/>
        <v>7.5558862823942503</v>
      </c>
    </row>
    <row r="268" spans="2:30" x14ac:dyDescent="0.3">
      <c r="B268" s="38" t="s">
        <v>317</v>
      </c>
      <c r="C268">
        <f t="shared" si="30"/>
        <v>7.2805704111703013</v>
      </c>
      <c r="AC268" s="38" t="s">
        <v>717</v>
      </c>
      <c r="AD268">
        <f t="shared" si="31"/>
        <v>7.1541340282562249</v>
      </c>
    </row>
    <row r="269" spans="2:30" x14ac:dyDescent="0.3">
      <c r="B269" s="38" t="s">
        <v>318</v>
      </c>
      <c r="C269">
        <f t="shared" si="30"/>
        <v>6.8248292619812467</v>
      </c>
      <c r="AC269" s="38" t="s">
        <v>718</v>
      </c>
      <c r="AD269">
        <f t="shared" si="31"/>
        <v>6.6785023816766733</v>
      </c>
    </row>
    <row r="270" spans="2:30" x14ac:dyDescent="0.3">
      <c r="B270" s="38" t="s">
        <v>319</v>
      </c>
      <c r="C270">
        <f t="shared" si="30"/>
        <v>6.3002131909841781</v>
      </c>
      <c r="AC270" s="38" t="s">
        <v>719</v>
      </c>
      <c r="AD270">
        <f t="shared" si="31"/>
        <v>6.1342944678681555</v>
      </c>
    </row>
    <row r="271" spans="2:30" x14ac:dyDescent="0.3">
      <c r="B271" s="38" t="s">
        <v>320</v>
      </c>
      <c r="C271">
        <f t="shared" si="30"/>
        <v>5.7139953242687929</v>
      </c>
      <c r="AC271" s="38" t="s">
        <v>720</v>
      </c>
      <c r="AD271">
        <f t="shared" si="31"/>
        <v>5.5309325824651312</v>
      </c>
    </row>
    <row r="272" spans="2:30" x14ac:dyDescent="0.3">
      <c r="B272" s="38" t="s">
        <v>321</v>
      </c>
      <c r="C272">
        <f t="shared" si="30"/>
        <v>5.0660385455883352</v>
      </c>
      <c r="AC272" s="38" t="s">
        <v>721</v>
      </c>
      <c r="AD272">
        <f t="shared" si="31"/>
        <v>4.869320910263454</v>
      </c>
    </row>
    <row r="273" spans="2:30" x14ac:dyDescent="0.3">
      <c r="B273" s="38" t="s">
        <v>322</v>
      </c>
      <c r="C273">
        <f t="shared" si="30"/>
        <v>4.3684816069842238</v>
      </c>
      <c r="AC273" s="38" t="s">
        <v>722</v>
      </c>
      <c r="AD273">
        <f t="shared" si="31"/>
        <v>4.1632659314567046</v>
      </c>
    </row>
    <row r="274" spans="2:30" x14ac:dyDescent="0.3">
      <c r="B274" s="38" t="s">
        <v>323</v>
      </c>
      <c r="C274">
        <f t="shared" si="30"/>
        <v>3.6580350117571174</v>
      </c>
      <c r="AC274" s="38" t="s">
        <v>723</v>
      </c>
      <c r="AD274">
        <f t="shared" si="31"/>
        <v>3.4521804656208159</v>
      </c>
    </row>
    <row r="275" spans="2:30" x14ac:dyDescent="0.3">
      <c r="B275" s="38" t="s">
        <v>324</v>
      </c>
      <c r="C275">
        <f t="shared" si="30"/>
        <v>2.6796456993191691</v>
      </c>
      <c r="AC275" s="38" t="s">
        <v>724</v>
      </c>
      <c r="AD275">
        <f t="shared" si="31"/>
        <v>2.4862524922947258</v>
      </c>
    </row>
    <row r="276" spans="2:30" x14ac:dyDescent="0.3">
      <c r="B276" s="38" t="s">
        <v>325</v>
      </c>
      <c r="C276">
        <f t="shared" ref="C276:C291" si="32">T4*(1+disc)^-17</f>
        <v>8.5526624866280514</v>
      </c>
      <c r="AC276" s="38" t="s">
        <v>725</v>
      </c>
      <c r="AD276">
        <f t="shared" ref="AD276:AD291" si="33">AU4*(1+disc)^-17</f>
        <v>8.5215994708374918</v>
      </c>
    </row>
    <row r="277" spans="2:30" x14ac:dyDescent="0.3">
      <c r="B277" s="38" t="s">
        <v>326</v>
      </c>
      <c r="C277">
        <f t="shared" si="32"/>
        <v>8.479072409257947</v>
      </c>
      <c r="AC277" s="38" t="s">
        <v>726</v>
      </c>
      <c r="AD277">
        <f t="shared" si="33"/>
        <v>8.4441182484279</v>
      </c>
    </row>
    <row r="278" spans="2:30" x14ac:dyDescent="0.3">
      <c r="B278" s="38" t="s">
        <v>327</v>
      </c>
      <c r="C278">
        <f t="shared" si="32"/>
        <v>8.3678195326718345</v>
      </c>
      <c r="AC278" s="38" t="s">
        <v>727</v>
      </c>
      <c r="AD278">
        <f t="shared" si="33"/>
        <v>8.3255305693299615</v>
      </c>
    </row>
    <row r="279" spans="2:30" x14ac:dyDescent="0.3">
      <c r="B279" s="38" t="s">
        <v>328</v>
      </c>
      <c r="C279">
        <f t="shared" si="32"/>
        <v>8.2284694267042386</v>
      </c>
      <c r="AC279" s="38" t="s">
        <v>728</v>
      </c>
      <c r="AD279">
        <f t="shared" si="33"/>
        <v>8.1771491545119979</v>
      </c>
    </row>
    <row r="280" spans="2:30" x14ac:dyDescent="0.3">
      <c r="B280" s="38" t="s">
        <v>329</v>
      </c>
      <c r="C280">
        <f t="shared" si="32"/>
        <v>8.062108763588121</v>
      </c>
      <c r="AC280" s="38" t="s">
        <v>729</v>
      </c>
      <c r="AD280">
        <f t="shared" si="33"/>
        <v>8.0007516957309317</v>
      </c>
    </row>
    <row r="281" spans="2:30" x14ac:dyDescent="0.3">
      <c r="B281" s="38" t="s">
        <v>330</v>
      </c>
      <c r="C281">
        <f t="shared" si="32"/>
        <v>7.8600291451434128</v>
      </c>
      <c r="AC281" s="38" t="s">
        <v>730</v>
      </c>
      <c r="AD281">
        <f t="shared" si="33"/>
        <v>7.7871476243893296</v>
      </c>
    </row>
    <row r="282" spans="2:30" x14ac:dyDescent="0.3">
      <c r="B282" s="38" t="s">
        <v>331</v>
      </c>
      <c r="C282">
        <f t="shared" si="32"/>
        <v>7.6102216293676284</v>
      </c>
      <c r="AC282" s="38" t="s">
        <v>731</v>
      </c>
      <c r="AD282">
        <f t="shared" si="33"/>
        <v>7.5235813530642881</v>
      </c>
    </row>
    <row r="283" spans="2:30" x14ac:dyDescent="0.3">
      <c r="B283" s="38" t="s">
        <v>332</v>
      </c>
      <c r="C283">
        <f t="shared" si="32"/>
        <v>7.3071061530709507</v>
      </c>
      <c r="AC283" s="38" t="s">
        <v>732</v>
      </c>
      <c r="AD283">
        <f t="shared" si="33"/>
        <v>7.2047448268336742</v>
      </c>
    </row>
    <row r="284" spans="2:30" x14ac:dyDescent="0.3">
      <c r="B284" s="38" t="s">
        <v>333</v>
      </c>
      <c r="C284">
        <f t="shared" si="32"/>
        <v>6.9431612563087741</v>
      </c>
      <c r="AC284" s="38" t="s">
        <v>733</v>
      </c>
      <c r="AD284">
        <f t="shared" si="33"/>
        <v>6.8233237938263454</v>
      </c>
    </row>
    <row r="285" spans="2:30" x14ac:dyDescent="0.3">
      <c r="B285" s="38" t="s">
        <v>334</v>
      </c>
      <c r="C285">
        <f t="shared" si="32"/>
        <v>6.5103682123484736</v>
      </c>
      <c r="AC285" s="38" t="s">
        <v>734</v>
      </c>
      <c r="AD285">
        <f t="shared" si="33"/>
        <v>6.3716069867434149</v>
      </c>
    </row>
    <row r="286" spans="2:30" x14ac:dyDescent="0.3">
      <c r="B286" s="38" t="s">
        <v>335</v>
      </c>
      <c r="C286">
        <f t="shared" si="32"/>
        <v>6.0118547180860471</v>
      </c>
      <c r="AC286" s="38" t="s">
        <v>735</v>
      </c>
      <c r="AD286">
        <f t="shared" si="33"/>
        <v>5.8544245108685153</v>
      </c>
    </row>
    <row r="287" spans="2:30" x14ac:dyDescent="0.3">
      <c r="B287" s="38" t="s">
        <v>336</v>
      </c>
      <c r="C287">
        <f t="shared" si="32"/>
        <v>5.4542985450656465</v>
      </c>
      <c r="AC287" s="38" t="s">
        <v>736</v>
      </c>
      <c r="AD287">
        <f t="shared" si="33"/>
        <v>5.28048237744256</v>
      </c>
    </row>
    <row r="288" spans="2:30" x14ac:dyDescent="0.3">
      <c r="B288" s="38" t="s">
        <v>337</v>
      </c>
      <c r="C288">
        <f t="shared" si="32"/>
        <v>4.8375111301345832</v>
      </c>
      <c r="AC288" s="38" t="s">
        <v>737</v>
      </c>
      <c r="AD288">
        <f t="shared" si="33"/>
        <v>4.6505929561948234</v>
      </c>
    </row>
    <row r="289" spans="2:30" x14ac:dyDescent="0.3">
      <c r="B289" s="38" t="s">
        <v>338</v>
      </c>
      <c r="C289">
        <f t="shared" si="32"/>
        <v>4.172850126014457</v>
      </c>
      <c r="AC289" s="38" t="s">
        <v>738</v>
      </c>
      <c r="AD289">
        <f t="shared" si="33"/>
        <v>3.9777062556557885</v>
      </c>
    </row>
    <row r="290" spans="2:30" x14ac:dyDescent="0.3">
      <c r="B290" s="38" t="s">
        <v>339</v>
      </c>
      <c r="C290">
        <f t="shared" si="32"/>
        <v>3.4950625145682643</v>
      </c>
      <c r="AC290" s="38" t="s">
        <v>739</v>
      </c>
      <c r="AD290">
        <f t="shared" si="33"/>
        <v>3.2991598678560545</v>
      </c>
    </row>
    <row r="291" spans="2:30" x14ac:dyDescent="0.3">
      <c r="B291" s="38" t="s">
        <v>340</v>
      </c>
      <c r="C291">
        <f t="shared" si="32"/>
        <v>2.5603727772133746</v>
      </c>
      <c r="AC291" s="38" t="s">
        <v>740</v>
      </c>
      <c r="AD291">
        <f t="shared" si="33"/>
        <v>2.3761483440640547</v>
      </c>
    </row>
    <row r="292" spans="2:30" x14ac:dyDescent="0.3">
      <c r="B292" s="38" t="s">
        <v>341</v>
      </c>
      <c r="C292">
        <f t="shared" ref="C292:C307" si="34">U4*(1+disc)^-18</f>
        <v>8.1484900219076071</v>
      </c>
      <c r="AC292" s="38" t="s">
        <v>741</v>
      </c>
      <c r="AD292">
        <f t="shared" ref="AD292:AD307" si="35">AV4*(1+disc)^-18</f>
        <v>8.1192211697465577</v>
      </c>
    </row>
    <row r="293" spans="2:30" x14ac:dyDescent="0.3">
      <c r="B293" s="38" t="s">
        <v>342</v>
      </c>
      <c r="C293">
        <f t="shared" si="34"/>
        <v>8.0783948011114237</v>
      </c>
      <c r="AC293" s="38" t="s">
        <v>742</v>
      </c>
      <c r="AD293">
        <f t="shared" si="35"/>
        <v>8.0453909715013125</v>
      </c>
    </row>
    <row r="294" spans="2:30" x14ac:dyDescent="0.3">
      <c r="B294" s="38" t="s">
        <v>343</v>
      </c>
      <c r="C294">
        <f t="shared" si="34"/>
        <v>7.9729383364076805</v>
      </c>
      <c r="AC294" s="38" t="s">
        <v>743</v>
      </c>
      <c r="AD294">
        <f t="shared" si="35"/>
        <v>7.9329808560861652</v>
      </c>
    </row>
    <row r="295" spans="2:30" x14ac:dyDescent="0.3">
      <c r="B295" s="38" t="s">
        <v>344</v>
      </c>
      <c r="C295">
        <f t="shared" si="34"/>
        <v>7.8408727377141858</v>
      </c>
      <c r="AC295" s="38" t="s">
        <v>744</v>
      </c>
      <c r="AD295">
        <f t="shared" si="35"/>
        <v>7.7923570628583185</v>
      </c>
    </row>
    <row r="296" spans="2:30" x14ac:dyDescent="0.3">
      <c r="B296" s="38" t="s">
        <v>345</v>
      </c>
      <c r="C296">
        <f t="shared" si="34"/>
        <v>7.683141850035625</v>
      </c>
      <c r="AC296" s="38" t="s">
        <v>745</v>
      </c>
      <c r="AD296">
        <f t="shared" si="35"/>
        <v>7.6251076802097817</v>
      </c>
    </row>
    <row r="297" spans="2:30" x14ac:dyDescent="0.3">
      <c r="B297" s="38" t="s">
        <v>346</v>
      </c>
      <c r="C297">
        <f t="shared" si="34"/>
        <v>7.4914922427862924</v>
      </c>
      <c r="AC297" s="38" t="s">
        <v>746</v>
      </c>
      <c r="AD297">
        <f t="shared" si="35"/>
        <v>7.4225230362669459</v>
      </c>
    </row>
    <row r="298" spans="2:30" x14ac:dyDescent="0.3">
      <c r="B298" s="38" t="s">
        <v>347</v>
      </c>
      <c r="C298">
        <f t="shared" si="34"/>
        <v>7.2545398080149122</v>
      </c>
      <c r="AC298" s="38" t="s">
        <v>747</v>
      </c>
      <c r="AD298">
        <f t="shared" si="35"/>
        <v>7.1725121045403233</v>
      </c>
    </row>
    <row r="299" spans="2:30" x14ac:dyDescent="0.3">
      <c r="B299" s="38" t="s">
        <v>348</v>
      </c>
      <c r="C299">
        <f t="shared" si="34"/>
        <v>6.9669115015755949</v>
      </c>
      <c r="AC299" s="38" t="s">
        <v>748</v>
      </c>
      <c r="AD299">
        <f t="shared" si="35"/>
        <v>6.8699511296716675</v>
      </c>
    </row>
    <row r="300" spans="2:30" x14ac:dyDescent="0.3">
      <c r="B300" s="38" t="s">
        <v>349</v>
      </c>
      <c r="C300">
        <f t="shared" si="34"/>
        <v>6.6214189456987285</v>
      </c>
      <c r="AC300" s="38" t="s">
        <v>749</v>
      </c>
      <c r="AD300">
        <f t="shared" si="35"/>
        <v>6.5078441596797374</v>
      </c>
    </row>
    <row r="301" spans="2:30" x14ac:dyDescent="0.3">
      <c r="B301" s="38" t="s">
        <v>350</v>
      </c>
      <c r="C301">
        <f t="shared" si="34"/>
        <v>6.2104301139207108</v>
      </c>
      <c r="AC301" s="38" t="s">
        <v>750</v>
      </c>
      <c r="AD301">
        <f t="shared" si="35"/>
        <v>6.0788522281401054</v>
      </c>
    </row>
    <row r="302" spans="2:30" x14ac:dyDescent="0.3">
      <c r="B302" s="38" t="s">
        <v>351</v>
      </c>
      <c r="C302">
        <f t="shared" si="34"/>
        <v>5.7367311119311299</v>
      </c>
      <c r="AC302" s="38" t="s">
        <v>751</v>
      </c>
      <c r="AD302">
        <f t="shared" si="35"/>
        <v>5.5873644205446187</v>
      </c>
    </row>
    <row r="303" spans="2:30" x14ac:dyDescent="0.3">
      <c r="B303" s="38" t="s">
        <v>352</v>
      </c>
      <c r="C303">
        <f t="shared" si="34"/>
        <v>5.2064431999173273</v>
      </c>
      <c r="AC303" s="38" t="s">
        <v>752</v>
      </c>
      <c r="AD303">
        <f t="shared" si="35"/>
        <v>5.0414157390550391</v>
      </c>
    </row>
    <row r="304" spans="2:30" x14ac:dyDescent="0.3">
      <c r="B304" s="38" t="s">
        <v>353</v>
      </c>
      <c r="C304">
        <f t="shared" si="34"/>
        <v>4.6193303530583423</v>
      </c>
      <c r="AC304" s="38" t="s">
        <v>753</v>
      </c>
      <c r="AD304">
        <f t="shared" si="35"/>
        <v>4.4417320891509098</v>
      </c>
    </row>
    <row r="305" spans="2:30" x14ac:dyDescent="0.3">
      <c r="B305" s="38" t="s">
        <v>354</v>
      </c>
      <c r="C305">
        <f t="shared" si="34"/>
        <v>3.9860138369839566</v>
      </c>
      <c r="AC305" s="38" t="s">
        <v>754</v>
      </c>
      <c r="AD305">
        <f t="shared" si="35"/>
        <v>3.8004549257770597</v>
      </c>
    </row>
    <row r="306" spans="2:30" x14ac:dyDescent="0.3">
      <c r="B306" s="38" t="s">
        <v>355</v>
      </c>
      <c r="C306">
        <f t="shared" si="34"/>
        <v>3.3393784663027906</v>
      </c>
      <c r="AC306" s="38" t="s">
        <v>755</v>
      </c>
      <c r="AD306">
        <f t="shared" si="35"/>
        <v>3.1529523640671857</v>
      </c>
    </row>
    <row r="307" spans="2:30" x14ac:dyDescent="0.3">
      <c r="B307" s="38" t="s">
        <v>356</v>
      </c>
      <c r="C307">
        <f t="shared" si="34"/>
        <v>2.4464248711640746</v>
      </c>
      <c r="AC307" s="38" t="s">
        <v>756</v>
      </c>
      <c r="AD307">
        <f t="shared" si="35"/>
        <v>2.2709378075916793</v>
      </c>
    </row>
    <row r="308" spans="2:30" x14ac:dyDescent="0.3">
      <c r="B308" s="38" t="s">
        <v>357</v>
      </c>
      <c r="C308">
        <f t="shared" ref="C308:C323" si="36">V4*(1+disc)^-19</f>
        <v>7.7631810060436583</v>
      </c>
      <c r="AC308" s="38" t="s">
        <v>757</v>
      </c>
      <c r="AD308">
        <f t="shared" ref="AD308:AD323" si="37">AW4*(1+disc)^-19</f>
        <v>7.7355750395253464</v>
      </c>
    </row>
    <row r="309" spans="2:30" x14ac:dyDescent="0.3">
      <c r="B309" s="38" t="s">
        <v>358</v>
      </c>
      <c r="C309">
        <f t="shared" si="36"/>
        <v>7.6964780976737455</v>
      </c>
      <c r="AC309" s="38" t="s">
        <v>758</v>
      </c>
      <c r="AD309">
        <f t="shared" si="37"/>
        <v>7.6652960249433795</v>
      </c>
    </row>
    <row r="310" spans="2:30" x14ac:dyDescent="0.3">
      <c r="B310" s="38" t="s">
        <v>359</v>
      </c>
      <c r="C310">
        <f t="shared" si="36"/>
        <v>7.5965182865076901</v>
      </c>
      <c r="AC310" s="38" t="s">
        <v>759</v>
      </c>
      <c r="AD310">
        <f t="shared" si="37"/>
        <v>7.5587442776551912</v>
      </c>
    </row>
    <row r="311" spans="2:30" x14ac:dyDescent="0.3">
      <c r="B311" s="38" t="s">
        <v>360</v>
      </c>
      <c r="C311">
        <f t="shared" si="36"/>
        <v>7.4713535297122036</v>
      </c>
      <c r="AC311" s="38" t="s">
        <v>760</v>
      </c>
      <c r="AD311">
        <f t="shared" si="37"/>
        <v>7.4254692911583522</v>
      </c>
    </row>
    <row r="312" spans="2:30" x14ac:dyDescent="0.3">
      <c r="B312" s="38" t="s">
        <v>361</v>
      </c>
      <c r="C312">
        <f t="shared" si="36"/>
        <v>7.3218101470241121</v>
      </c>
      <c r="AC312" s="38" t="s">
        <v>761</v>
      </c>
      <c r="AD312">
        <f t="shared" si="37"/>
        <v>7.2668995761812836</v>
      </c>
    </row>
    <row r="313" spans="2:30" x14ac:dyDescent="0.3">
      <c r="B313" s="38" t="s">
        <v>362</v>
      </c>
      <c r="C313">
        <f t="shared" si="36"/>
        <v>7.1400643508198769</v>
      </c>
      <c r="AC313" s="38" t="s">
        <v>762</v>
      </c>
      <c r="AD313">
        <f t="shared" si="37"/>
        <v>7.0747793808016475</v>
      </c>
    </row>
    <row r="314" spans="2:30" x14ac:dyDescent="0.3">
      <c r="B314" s="38" t="s">
        <v>363</v>
      </c>
      <c r="C314">
        <f t="shared" si="36"/>
        <v>6.9153236781713021</v>
      </c>
      <c r="AC314" s="38" t="s">
        <v>763</v>
      </c>
      <c r="AD314">
        <f t="shared" si="37"/>
        <v>6.8376467748854193</v>
      </c>
    </row>
    <row r="315" spans="2:30" x14ac:dyDescent="0.3">
      <c r="B315" s="38" t="s">
        <v>364</v>
      </c>
      <c r="C315">
        <f t="shared" si="36"/>
        <v>6.6424177726631326</v>
      </c>
      <c r="AC315" s="38" t="s">
        <v>764</v>
      </c>
      <c r="AD315">
        <f t="shared" si="37"/>
        <v>6.5505597455842572</v>
      </c>
    </row>
    <row r="316" spans="2:30" x14ac:dyDescent="0.3">
      <c r="B316" s="38" t="s">
        <v>365</v>
      </c>
      <c r="C316">
        <f t="shared" si="36"/>
        <v>6.3144656888898192</v>
      </c>
      <c r="AC316" s="38" t="s">
        <v>765</v>
      </c>
      <c r="AD316">
        <f t="shared" si="37"/>
        <v>6.2068144193248393</v>
      </c>
    </row>
    <row r="317" spans="2:30" x14ac:dyDescent="0.3">
      <c r="B317" s="38" t="s">
        <v>366</v>
      </c>
      <c r="C317">
        <f t="shared" si="36"/>
        <v>5.9241940474603565</v>
      </c>
      <c r="AC317" s="38" t="s">
        <v>766</v>
      </c>
      <c r="AD317">
        <f t="shared" si="37"/>
        <v>5.7994154555059128</v>
      </c>
    </row>
    <row r="318" spans="2:30" x14ac:dyDescent="0.3">
      <c r="B318" s="38" t="s">
        <v>367</v>
      </c>
      <c r="C318">
        <f t="shared" si="36"/>
        <v>5.4740922506950813</v>
      </c>
      <c r="AC318" s="38" t="s">
        <v>767</v>
      </c>
      <c r="AD318">
        <f t="shared" si="37"/>
        <v>5.3323633113339248</v>
      </c>
    </row>
    <row r="319" spans="2:30" x14ac:dyDescent="0.3">
      <c r="B319" s="38" t="s">
        <v>368</v>
      </c>
      <c r="C319">
        <f t="shared" si="36"/>
        <v>4.9697799820297792</v>
      </c>
      <c r="AC319" s="38" t="s">
        <v>768</v>
      </c>
      <c r="AD319">
        <f t="shared" si="37"/>
        <v>4.8130846273415742</v>
      </c>
    </row>
    <row r="320" spans="2:30" x14ac:dyDescent="0.3">
      <c r="B320" s="38" t="s">
        <v>369</v>
      </c>
      <c r="C320">
        <f t="shared" si="36"/>
        <v>4.4109603340803778</v>
      </c>
      <c r="AC320" s="38" t="s">
        <v>769</v>
      </c>
      <c r="AD320">
        <f t="shared" si="37"/>
        <v>4.242204156950252</v>
      </c>
    </row>
    <row r="321" spans="2:30" x14ac:dyDescent="0.3">
      <c r="B321" s="38" t="s">
        <v>370</v>
      </c>
      <c r="C321">
        <f t="shared" si="36"/>
        <v>3.8075880810838965</v>
      </c>
      <c r="AC321" s="38" t="s">
        <v>770</v>
      </c>
      <c r="AD321">
        <f t="shared" si="37"/>
        <v>3.6311295552338674</v>
      </c>
    </row>
    <row r="322" spans="2:30" x14ac:dyDescent="0.3">
      <c r="B322" s="38" t="s">
        <v>371</v>
      </c>
      <c r="C322">
        <f t="shared" si="36"/>
        <v>3.1907994511331146</v>
      </c>
      <c r="AC322" s="38" t="s">
        <v>771</v>
      </c>
      <c r="AD322">
        <f t="shared" si="37"/>
        <v>3.0133783096531324</v>
      </c>
    </row>
    <row r="323" spans="2:30" x14ac:dyDescent="0.3">
      <c r="B323" s="38" t="s">
        <v>372</v>
      </c>
      <c r="C323">
        <f t="shared" si="36"/>
        <v>2.3378879958025895</v>
      </c>
      <c r="AC323" s="38" t="s">
        <v>772</v>
      </c>
      <c r="AD323">
        <f t="shared" si="37"/>
        <v>2.1707088377712567</v>
      </c>
    </row>
    <row r="324" spans="2:30" x14ac:dyDescent="0.3">
      <c r="B324" s="38" t="s">
        <v>373</v>
      </c>
      <c r="C324">
        <f t="shared" ref="C324:C339" si="38">W4*(1+disc)^-20</f>
        <v>7.396097746682643</v>
      </c>
      <c r="AC324" s="38" t="s">
        <v>773</v>
      </c>
      <c r="AD324">
        <f t="shared" ref="AD324:AD339" si="39">AX4*(1+disc)^-20</f>
        <v>7.3700636974905835</v>
      </c>
    </row>
    <row r="325" spans="2:30" x14ac:dyDescent="0.3">
      <c r="B325" s="38" t="s">
        <v>374</v>
      </c>
      <c r="C325">
        <f t="shared" si="38"/>
        <v>7.3326245191551047</v>
      </c>
      <c r="AC325" s="38" t="s">
        <v>774</v>
      </c>
      <c r="AD325">
        <f t="shared" si="39"/>
        <v>7.3031667559245435</v>
      </c>
    </row>
    <row r="326" spans="2:30" x14ac:dyDescent="0.3">
      <c r="B326" s="38" t="s">
        <v>375</v>
      </c>
      <c r="C326">
        <f t="shared" si="38"/>
        <v>7.2378791399310876</v>
      </c>
      <c r="AC326" s="38" t="s">
        <v>775</v>
      </c>
      <c r="AD326">
        <f t="shared" si="39"/>
        <v>7.2021727630126353</v>
      </c>
    </row>
    <row r="327" spans="2:30" x14ac:dyDescent="0.3">
      <c r="B327" s="38" t="s">
        <v>376</v>
      </c>
      <c r="C327">
        <f t="shared" si="38"/>
        <v>7.1192601647345786</v>
      </c>
      <c r="AC327" s="38" t="s">
        <v>776</v>
      </c>
      <c r="AD327">
        <f t="shared" si="39"/>
        <v>7.0758686277408112</v>
      </c>
    </row>
    <row r="328" spans="2:30" x14ac:dyDescent="0.3">
      <c r="B328" s="38" t="s">
        <v>377</v>
      </c>
      <c r="C328">
        <f t="shared" si="38"/>
        <v>6.9774854843570733</v>
      </c>
      <c r="AC328" s="38" t="s">
        <v>777</v>
      </c>
      <c r="AD328">
        <f t="shared" si="39"/>
        <v>6.9255349198340879</v>
      </c>
    </row>
    <row r="329" spans="2:30" x14ac:dyDescent="0.3">
      <c r="B329" s="38" t="s">
        <v>378</v>
      </c>
      <c r="C329">
        <f t="shared" si="38"/>
        <v>6.8051388947789064</v>
      </c>
      <c r="AC329" s="38" t="s">
        <v>778</v>
      </c>
      <c r="AD329">
        <f t="shared" si="39"/>
        <v>6.7433464867918538</v>
      </c>
    </row>
    <row r="330" spans="2:30" x14ac:dyDescent="0.3">
      <c r="B330" s="38" t="s">
        <v>379</v>
      </c>
      <c r="C330">
        <f t="shared" si="38"/>
        <v>6.5919892132967632</v>
      </c>
      <c r="AC330" s="38" t="s">
        <v>779</v>
      </c>
      <c r="AD330">
        <f t="shared" si="39"/>
        <v>6.518438184144479</v>
      </c>
    </row>
    <row r="331" spans="2:30" x14ac:dyDescent="0.3">
      <c r="B331" s="38" t="s">
        <v>380</v>
      </c>
      <c r="C331">
        <f t="shared" si="38"/>
        <v>6.3330616714769761</v>
      </c>
      <c r="AC331" s="38" t="s">
        <v>780</v>
      </c>
      <c r="AD331">
        <f t="shared" si="39"/>
        <v>6.2460440552427068</v>
      </c>
    </row>
    <row r="332" spans="2:30" x14ac:dyDescent="0.3">
      <c r="B332" s="38" t="s">
        <v>381</v>
      </c>
      <c r="C332">
        <f t="shared" si="38"/>
        <v>6.0217697641192736</v>
      </c>
      <c r="AC332" s="38" t="s">
        <v>781</v>
      </c>
      <c r="AD332">
        <f t="shared" si="39"/>
        <v>5.9197403168323541</v>
      </c>
    </row>
    <row r="333" spans="2:30" x14ac:dyDescent="0.3">
      <c r="B333" s="38" t="s">
        <v>382</v>
      </c>
      <c r="C333">
        <f t="shared" si="38"/>
        <v>5.6511818515877463</v>
      </c>
      <c r="AC333" s="38" t="s">
        <v>782</v>
      </c>
      <c r="AD333">
        <f t="shared" si="39"/>
        <v>5.532859087260845</v>
      </c>
    </row>
    <row r="334" spans="2:30" x14ac:dyDescent="0.3">
      <c r="B334" s="38" t="s">
        <v>383</v>
      </c>
      <c r="C334">
        <f t="shared" si="38"/>
        <v>5.2235118746313498</v>
      </c>
      <c r="AC334" s="38" t="s">
        <v>783</v>
      </c>
      <c r="AD334">
        <f t="shared" si="39"/>
        <v>5.0890384218518445</v>
      </c>
    </row>
    <row r="335" spans="2:30" x14ac:dyDescent="0.3">
      <c r="B335" s="38" t="s">
        <v>384</v>
      </c>
      <c r="C335">
        <f t="shared" si="38"/>
        <v>4.7439106692502353</v>
      </c>
      <c r="AC335" s="38" t="s">
        <v>784</v>
      </c>
      <c r="AD335">
        <f t="shared" si="39"/>
        <v>4.5951349779901198</v>
      </c>
    </row>
    <row r="336" spans="2:30" x14ac:dyDescent="0.3">
      <c r="B336" s="38" t="s">
        <v>385</v>
      </c>
      <c r="C336">
        <f t="shared" si="38"/>
        <v>4.2120256256631663</v>
      </c>
      <c r="AC336" s="38" t="s">
        <v>785</v>
      </c>
      <c r="AD336">
        <f t="shared" si="39"/>
        <v>4.0516790722014884</v>
      </c>
    </row>
    <row r="337" spans="2:30" x14ac:dyDescent="0.3">
      <c r="B337" s="38" t="s">
        <v>386</v>
      </c>
      <c r="C337">
        <f t="shared" si="38"/>
        <v>3.6371825889781313</v>
      </c>
      <c r="AC337" s="38" t="s">
        <v>786</v>
      </c>
      <c r="AD337">
        <f t="shared" si="39"/>
        <v>3.4693849349781587</v>
      </c>
    </row>
    <row r="338" spans="2:30" x14ac:dyDescent="0.3">
      <c r="B338" s="38" t="s">
        <v>387</v>
      </c>
      <c r="C338">
        <f t="shared" si="38"/>
        <v>3.048858917822757</v>
      </c>
      <c r="AC338" s="38" t="s">
        <v>787</v>
      </c>
      <c r="AD338">
        <f t="shared" si="39"/>
        <v>2.8800131263460589</v>
      </c>
    </row>
    <row r="339" spans="2:30" x14ac:dyDescent="0.3">
      <c r="B339" s="38" t="s">
        <v>388</v>
      </c>
      <c r="C339">
        <f t="shared" si="38"/>
        <v>2.2341834957566764</v>
      </c>
      <c r="AC339" s="38" t="s">
        <v>788</v>
      </c>
      <c r="AD339">
        <f t="shared" si="39"/>
        <v>2.0749221427180964</v>
      </c>
    </row>
    <row r="340" spans="2:30" x14ac:dyDescent="0.3">
      <c r="B340" s="38" t="s">
        <v>389</v>
      </c>
      <c r="C340">
        <f t="shared" ref="C340:C355" si="40">X4*(1+disc)^-21</f>
        <v>7.0463778946788107</v>
      </c>
      <c r="AC340" s="38" t="s">
        <v>789</v>
      </c>
      <c r="AD340">
        <f t="shared" ref="AD340:AD355" si="41">AY4*(1+disc)^-21</f>
        <v>7.0218296498068895</v>
      </c>
    </row>
    <row r="341" spans="2:30" x14ac:dyDescent="0.3">
      <c r="B341" s="38" t="s">
        <v>390</v>
      </c>
      <c r="C341">
        <f t="shared" si="40"/>
        <v>6.9859794540669151</v>
      </c>
      <c r="AC341" s="38" t="s">
        <v>790</v>
      </c>
      <c r="AD341">
        <f t="shared" si="41"/>
        <v>6.9581536590716935</v>
      </c>
    </row>
    <row r="342" spans="2:30" x14ac:dyDescent="0.3">
      <c r="B342" s="38" t="s">
        <v>391</v>
      </c>
      <c r="C342">
        <f t="shared" si="40"/>
        <v>6.8961806145095785</v>
      </c>
      <c r="AC342" s="38" t="s">
        <v>791</v>
      </c>
      <c r="AD342">
        <f t="shared" si="41"/>
        <v>6.8624320574350275</v>
      </c>
    </row>
    <row r="343" spans="2:30" x14ac:dyDescent="0.3">
      <c r="B343" s="38" t="s">
        <v>392</v>
      </c>
      <c r="C343">
        <f t="shared" si="40"/>
        <v>6.783770420883326</v>
      </c>
      <c r="AC343" s="38" t="s">
        <v>792</v>
      </c>
      <c r="AD343">
        <f t="shared" si="41"/>
        <v>6.7427400302529792</v>
      </c>
    </row>
    <row r="344" spans="2:30" x14ac:dyDescent="0.3">
      <c r="B344" s="38" t="s">
        <v>393</v>
      </c>
      <c r="C344">
        <f t="shared" si="40"/>
        <v>6.6493668301213944</v>
      </c>
      <c r="AC344" s="38" t="s">
        <v>793</v>
      </c>
      <c r="AD344">
        <f t="shared" si="41"/>
        <v>6.6002210953789975</v>
      </c>
    </row>
    <row r="345" spans="2:30" x14ac:dyDescent="0.3">
      <c r="B345" s="38" t="s">
        <v>394</v>
      </c>
      <c r="C345">
        <f t="shared" si="40"/>
        <v>6.4859402834468725</v>
      </c>
      <c r="AC345" s="38" t="s">
        <v>794</v>
      </c>
      <c r="AD345">
        <f t="shared" si="41"/>
        <v>6.4274585647240547</v>
      </c>
    </row>
    <row r="346" spans="2:30" x14ac:dyDescent="0.3">
      <c r="B346" s="38" t="s">
        <v>395</v>
      </c>
      <c r="C346">
        <f t="shared" si="40"/>
        <v>6.2837920572869557</v>
      </c>
      <c r="AC346" s="38" t="s">
        <v>795</v>
      </c>
      <c r="AD346">
        <f t="shared" si="41"/>
        <v>6.2141534123195248</v>
      </c>
    </row>
    <row r="347" spans="2:30" x14ac:dyDescent="0.3">
      <c r="B347" s="38" t="s">
        <v>396</v>
      </c>
      <c r="C347">
        <f t="shared" si="40"/>
        <v>6.0381360876171728</v>
      </c>
      <c r="AC347" s="38" t="s">
        <v>796</v>
      </c>
      <c r="AD347">
        <f t="shared" si="41"/>
        <v>5.955710181253294</v>
      </c>
    </row>
    <row r="348" spans="2:30" x14ac:dyDescent="0.3">
      <c r="B348" s="38" t="s">
        <v>397</v>
      </c>
      <c r="C348">
        <f t="shared" si="40"/>
        <v>5.74266785831409</v>
      </c>
      <c r="AC348" s="38" t="s">
        <v>797</v>
      </c>
      <c r="AD348">
        <f t="shared" si="41"/>
        <v>5.6459736716818494</v>
      </c>
    </row>
    <row r="349" spans="2:30" x14ac:dyDescent="0.3">
      <c r="B349" s="38" t="s">
        <v>398</v>
      </c>
      <c r="C349">
        <f t="shared" si="40"/>
        <v>5.390781361455117</v>
      </c>
      <c r="AC349" s="38" t="s">
        <v>798</v>
      </c>
      <c r="AD349">
        <f t="shared" si="41"/>
        <v>5.2785880578661022</v>
      </c>
    </row>
    <row r="350" spans="2:30" x14ac:dyDescent="0.3">
      <c r="B350" s="38" t="s">
        <v>399</v>
      </c>
      <c r="C350">
        <f t="shared" si="40"/>
        <v>4.984434995426799</v>
      </c>
      <c r="AC350" s="38" t="s">
        <v>799</v>
      </c>
      <c r="AD350">
        <f t="shared" si="41"/>
        <v>4.8568536357503573</v>
      </c>
    </row>
    <row r="351" spans="2:30" x14ac:dyDescent="0.3">
      <c r="B351" s="38" t="s">
        <v>400</v>
      </c>
      <c r="C351">
        <f t="shared" si="40"/>
        <v>4.5283415428430915</v>
      </c>
      <c r="AC351" s="38" t="s">
        <v>800</v>
      </c>
      <c r="AD351">
        <f t="shared" si="41"/>
        <v>4.3870932330260484</v>
      </c>
    </row>
    <row r="352" spans="2:30" x14ac:dyDescent="0.3">
      <c r="B352" s="38" t="s">
        <v>401</v>
      </c>
      <c r="C352">
        <f t="shared" si="40"/>
        <v>4.0220975585211374</v>
      </c>
      <c r="AC352" s="38" t="s">
        <v>801</v>
      </c>
      <c r="AD352">
        <f t="shared" si="41"/>
        <v>3.8697490795871023</v>
      </c>
    </row>
    <row r="353" spans="2:30" x14ac:dyDescent="0.3">
      <c r="B353" s="38" t="s">
        <v>402</v>
      </c>
      <c r="C353">
        <f t="shared" si="40"/>
        <v>3.4744355220294971</v>
      </c>
      <c r="AC353" s="38" t="s">
        <v>802</v>
      </c>
      <c r="AD353">
        <f t="shared" si="41"/>
        <v>3.3148802463790363</v>
      </c>
    </row>
    <row r="354" spans="2:30" x14ac:dyDescent="0.3">
      <c r="B354" s="38" t="s">
        <v>403</v>
      </c>
      <c r="C354">
        <f t="shared" si="40"/>
        <v>2.9132591450281247</v>
      </c>
      <c r="AC354" s="38" t="s">
        <v>803</v>
      </c>
      <c r="AD354">
        <f t="shared" si="41"/>
        <v>2.7525794257637966</v>
      </c>
    </row>
    <row r="355" spans="2:30" x14ac:dyDescent="0.3">
      <c r="B355" s="38" t="s">
        <v>404</v>
      </c>
      <c r="C355">
        <f t="shared" si="40"/>
        <v>2.1350955083000795</v>
      </c>
      <c r="AC355" s="38" t="s">
        <v>804</v>
      </c>
      <c r="AD355">
        <f t="shared" si="41"/>
        <v>1.9833800754427571</v>
      </c>
    </row>
    <row r="356" spans="2:30" x14ac:dyDescent="0.3">
      <c r="B356" s="38" t="s">
        <v>405</v>
      </c>
      <c r="C356">
        <f t="shared" ref="C356:C371" si="42">Y4*(1+disc)^-22</f>
        <v>6.7131999125040087</v>
      </c>
      <c r="AC356" s="38" t="s">
        <v>805</v>
      </c>
      <c r="AD356">
        <f t="shared" ref="AD356:AD371" si="43">AZ4*(1+disc)^-22</f>
        <v>6.6900559595448703</v>
      </c>
    </row>
    <row r="357" spans="2:30" x14ac:dyDescent="0.3">
      <c r="B357" s="38" t="s">
        <v>406</v>
      </c>
      <c r="C357">
        <f t="shared" si="42"/>
        <v>6.655728736726144</v>
      </c>
      <c r="AC357" s="38" t="s">
        <v>806</v>
      </c>
      <c r="AD357">
        <f t="shared" si="43"/>
        <v>6.6294474111121797</v>
      </c>
    </row>
    <row r="358" spans="2:30" x14ac:dyDescent="0.3">
      <c r="B358" s="38" t="s">
        <v>407</v>
      </c>
      <c r="C358">
        <f t="shared" si="42"/>
        <v>6.5706221525529482</v>
      </c>
      <c r="AC358" s="38" t="s">
        <v>807</v>
      </c>
      <c r="AD358">
        <f t="shared" si="43"/>
        <v>6.5387273212956529</v>
      </c>
    </row>
    <row r="359" spans="2:30" x14ac:dyDescent="0.3">
      <c r="B359" s="38" t="s">
        <v>408</v>
      </c>
      <c r="C359">
        <f t="shared" si="42"/>
        <v>6.4641008901299637</v>
      </c>
      <c r="AC359" s="38" t="s">
        <v>808</v>
      </c>
      <c r="AD359">
        <f t="shared" si="43"/>
        <v>6.425306903476196</v>
      </c>
    </row>
    <row r="360" spans="2:30" x14ac:dyDescent="0.3">
      <c r="B360" s="38" t="s">
        <v>409</v>
      </c>
      <c r="C360">
        <f t="shared" si="42"/>
        <v>6.3366909030605214</v>
      </c>
      <c r="AC360" s="38" t="s">
        <v>809</v>
      </c>
      <c r="AD360">
        <f t="shared" si="43"/>
        <v>6.2902028100715484</v>
      </c>
    </row>
    <row r="361" spans="2:30" x14ac:dyDescent="0.3">
      <c r="B361" s="38" t="s">
        <v>410</v>
      </c>
      <c r="C361">
        <f t="shared" si="42"/>
        <v>6.1817294039305031</v>
      </c>
      <c r="AC361" s="38" t="s">
        <v>810</v>
      </c>
      <c r="AD361">
        <f t="shared" si="43"/>
        <v>6.1263858081304843</v>
      </c>
    </row>
    <row r="362" spans="2:30" x14ac:dyDescent="0.3">
      <c r="B362" s="38" t="s">
        <v>411</v>
      </c>
      <c r="C362">
        <f t="shared" si="42"/>
        <v>5.9900227730027442</v>
      </c>
      <c r="AC362" s="38" t="s">
        <v>811</v>
      </c>
      <c r="AD362">
        <f t="shared" si="43"/>
        <v>5.9240938835695509</v>
      </c>
    </row>
    <row r="363" spans="2:30" x14ac:dyDescent="0.3">
      <c r="B363" s="38" t="s">
        <v>412</v>
      </c>
      <c r="C363">
        <f t="shared" si="42"/>
        <v>5.7569669787732334</v>
      </c>
      <c r="AC363" s="38" t="s">
        <v>812</v>
      </c>
      <c r="AD363">
        <f t="shared" si="43"/>
        <v>5.6788966530865634</v>
      </c>
    </row>
    <row r="364" spans="2:30" x14ac:dyDescent="0.3">
      <c r="B364" s="38" t="s">
        <v>413</v>
      </c>
      <c r="C364">
        <f t="shared" si="42"/>
        <v>5.4765275619842013</v>
      </c>
      <c r="AC364" s="38" t="s">
        <v>813</v>
      </c>
      <c r="AD364">
        <f t="shared" si="43"/>
        <v>5.3848964557881827</v>
      </c>
    </row>
    <row r="365" spans="2:30" x14ac:dyDescent="0.3">
      <c r="B365" s="38" t="s">
        <v>414</v>
      </c>
      <c r="C365">
        <f t="shared" si="42"/>
        <v>5.1424087997778392</v>
      </c>
      <c r="AC365" s="38" t="s">
        <v>814</v>
      </c>
      <c r="AD365">
        <f t="shared" si="43"/>
        <v>5.0360348464242417</v>
      </c>
    </row>
    <row r="366" spans="2:30" x14ac:dyDescent="0.3">
      <c r="B366" s="38" t="s">
        <v>415</v>
      </c>
      <c r="C366">
        <f t="shared" si="42"/>
        <v>4.7563322214737971</v>
      </c>
      <c r="AC366" s="38" t="s">
        <v>815</v>
      </c>
      <c r="AD366">
        <f t="shared" si="43"/>
        <v>4.6352975102332401</v>
      </c>
    </row>
    <row r="367" spans="2:30" x14ac:dyDescent="0.3">
      <c r="B367" s="38" t="s">
        <v>416</v>
      </c>
      <c r="C367">
        <f t="shared" si="42"/>
        <v>4.3226015234423576</v>
      </c>
      <c r="AC367" s="38" t="s">
        <v>816</v>
      </c>
      <c r="AD367">
        <f t="shared" si="43"/>
        <v>4.1885074965729912</v>
      </c>
    </row>
    <row r="368" spans="2:30" x14ac:dyDescent="0.3">
      <c r="B368" s="38" t="s">
        <v>417</v>
      </c>
      <c r="C368">
        <f t="shared" si="42"/>
        <v>3.8407669954490822</v>
      </c>
      <c r="AC368" s="38" t="s">
        <v>817</v>
      </c>
      <c r="AD368">
        <f t="shared" si="43"/>
        <v>3.6960249519634911</v>
      </c>
    </row>
    <row r="369" spans="2:30" x14ac:dyDescent="0.3">
      <c r="B369" s="38" t="s">
        <v>418</v>
      </c>
      <c r="C369">
        <f t="shared" si="42"/>
        <v>3.3190014191154082</v>
      </c>
      <c r="AC369" s="38" t="s">
        <v>818</v>
      </c>
      <c r="AD369">
        <f t="shared" si="43"/>
        <v>3.1672900494320659</v>
      </c>
    </row>
    <row r="370" spans="2:30" x14ac:dyDescent="0.3">
      <c r="B370" s="38" t="s">
        <v>419</v>
      </c>
      <c r="C370">
        <f t="shared" si="42"/>
        <v>2.783715808481821</v>
      </c>
      <c r="AC370" s="38" t="s">
        <v>819</v>
      </c>
      <c r="AD370">
        <f t="shared" si="43"/>
        <v>2.6308122592340641</v>
      </c>
    </row>
    <row r="371" spans="2:30" x14ac:dyDescent="0.3">
      <c r="B371" s="38" t="s">
        <v>420</v>
      </c>
      <c r="C371">
        <f t="shared" si="42"/>
        <v>2.0404178428992878</v>
      </c>
      <c r="AC371" s="38" t="s">
        <v>820</v>
      </c>
      <c r="AD371">
        <f t="shared" si="43"/>
        <v>1.8958938137023158</v>
      </c>
    </row>
    <row r="372" spans="2:30" x14ac:dyDescent="0.3">
      <c r="B372" s="38" t="s">
        <v>421</v>
      </c>
      <c r="C372">
        <f t="shared" ref="C372:C387" si="44">Z4*(1+disc)^-23</f>
        <v>6.3957811423981328</v>
      </c>
      <c r="AC372" s="38" t="s">
        <v>821</v>
      </c>
      <c r="AD372">
        <f t="shared" ref="AD372:AD387" si="45">BA4*(1+disc)^-23</f>
        <v>6.3739643280245035</v>
      </c>
    </row>
    <row r="373" spans="2:30" x14ac:dyDescent="0.3">
      <c r="B373" s="38" t="s">
        <v>422</v>
      </c>
      <c r="C373">
        <f t="shared" si="44"/>
        <v>6.3410967326059717</v>
      </c>
      <c r="AC373" s="38" t="s">
        <v>822</v>
      </c>
      <c r="AD373">
        <f t="shared" si="45"/>
        <v>6.3162769696983769</v>
      </c>
    </row>
    <row r="374" spans="2:30" x14ac:dyDescent="0.3">
      <c r="B374" s="38" t="s">
        <v>423</v>
      </c>
      <c r="C374">
        <f t="shared" si="44"/>
        <v>6.260441042265974</v>
      </c>
      <c r="AC374" s="38" t="s">
        <v>823</v>
      </c>
      <c r="AD374">
        <f t="shared" si="45"/>
        <v>6.2303012672027753</v>
      </c>
    </row>
    <row r="375" spans="2:30" x14ac:dyDescent="0.3">
      <c r="B375" s="38" t="s">
        <v>424</v>
      </c>
      <c r="C375">
        <f t="shared" si="44"/>
        <v>6.1595051453294518</v>
      </c>
      <c r="AC375" s="38" t="s">
        <v>824</v>
      </c>
      <c r="AD375">
        <f t="shared" si="45"/>
        <v>6.1228292848941583</v>
      </c>
    </row>
    <row r="376" spans="2:30" x14ac:dyDescent="0.3">
      <c r="B376" s="38" t="s">
        <v>425</v>
      </c>
      <c r="C376">
        <f t="shared" si="44"/>
        <v>6.038730392585598</v>
      </c>
      <c r="AC376" s="38" t="s">
        <v>825</v>
      </c>
      <c r="AD376">
        <f t="shared" si="45"/>
        <v>5.9947603357519821</v>
      </c>
    </row>
    <row r="377" spans="2:30" x14ac:dyDescent="0.3">
      <c r="B377" s="38" t="s">
        <v>426</v>
      </c>
      <c r="C377">
        <f t="shared" si="44"/>
        <v>5.89180190489963</v>
      </c>
      <c r="AC377" s="38" t="s">
        <v>826</v>
      </c>
      <c r="AD377">
        <f t="shared" si="45"/>
        <v>5.8394327016380636</v>
      </c>
    </row>
    <row r="378" spans="2:30" x14ac:dyDescent="0.3">
      <c r="B378" s="38" t="s">
        <v>427</v>
      </c>
      <c r="C378">
        <f t="shared" si="44"/>
        <v>5.7100052028789028</v>
      </c>
      <c r="AC378" s="38" t="s">
        <v>827</v>
      </c>
      <c r="AD378">
        <f t="shared" si="45"/>
        <v>5.6475937554706404</v>
      </c>
    </row>
    <row r="379" spans="2:30" x14ac:dyDescent="0.3">
      <c r="B379" s="38" t="s">
        <v>428</v>
      </c>
      <c r="C379">
        <f t="shared" si="44"/>
        <v>5.4889118227805662</v>
      </c>
      <c r="AC379" s="38" t="s">
        <v>828</v>
      </c>
      <c r="AD379">
        <f t="shared" si="45"/>
        <v>5.4149728919130231</v>
      </c>
    </row>
    <row r="380" spans="2:30" x14ac:dyDescent="0.3">
      <c r="B380" s="38" t="s">
        <v>429</v>
      </c>
      <c r="C380">
        <f t="shared" si="44"/>
        <v>5.222745927687285</v>
      </c>
      <c r="AC380" s="38" t="s">
        <v>829</v>
      </c>
      <c r="AD380">
        <f t="shared" si="45"/>
        <v>5.1359193889744645</v>
      </c>
    </row>
    <row r="381" spans="2:30" x14ac:dyDescent="0.3">
      <c r="B381" s="38" t="s">
        <v>430</v>
      </c>
      <c r="C381">
        <f t="shared" si="44"/>
        <v>4.9055074584681426</v>
      </c>
      <c r="AC381" s="38" t="s">
        <v>830</v>
      </c>
      <c r="AD381">
        <f t="shared" si="45"/>
        <v>4.8046581995756226</v>
      </c>
    </row>
    <row r="382" spans="2:30" x14ac:dyDescent="0.3">
      <c r="B382" s="38" t="s">
        <v>431</v>
      </c>
      <c r="C382">
        <f t="shared" si="44"/>
        <v>4.5386985751760349</v>
      </c>
      <c r="AC382" s="38" t="s">
        <v>831</v>
      </c>
      <c r="AD382">
        <f t="shared" si="45"/>
        <v>4.4238821382293176</v>
      </c>
    </row>
    <row r="383" spans="2:30" x14ac:dyDescent="0.3">
      <c r="B383" s="38" t="s">
        <v>432</v>
      </c>
      <c r="C383">
        <f t="shared" si="44"/>
        <v>4.1262411306701239</v>
      </c>
      <c r="AC383" s="38" t="s">
        <v>832</v>
      </c>
      <c r="AD383">
        <f t="shared" si="45"/>
        <v>3.998946541570588</v>
      </c>
    </row>
    <row r="384" spans="2:30" x14ac:dyDescent="0.3">
      <c r="B384" s="38" t="s">
        <v>433</v>
      </c>
      <c r="C384">
        <f t="shared" si="44"/>
        <v>3.6676434390881232</v>
      </c>
      <c r="AC384" s="38" t="s">
        <v>833</v>
      </c>
      <c r="AD384">
        <f t="shared" si="45"/>
        <v>3.5301351460737149</v>
      </c>
    </row>
    <row r="385" spans="2:30" x14ac:dyDescent="0.3">
      <c r="B385" s="38" t="s">
        <v>434</v>
      </c>
      <c r="C385">
        <f t="shared" si="44"/>
        <v>3.170550453222821</v>
      </c>
      <c r="AC385" s="38" t="s">
        <v>834</v>
      </c>
      <c r="AD385">
        <f t="shared" si="45"/>
        <v>3.0263035866208812</v>
      </c>
    </row>
    <row r="386" spans="2:30" x14ac:dyDescent="0.3">
      <c r="B386" s="38" t="s">
        <v>435</v>
      </c>
      <c r="C386">
        <f t="shared" si="44"/>
        <v>2.6599573763255062</v>
      </c>
      <c r="AC386" s="38" t="s">
        <v>835</v>
      </c>
      <c r="AD386">
        <f t="shared" si="45"/>
        <v>2.5144585580536809</v>
      </c>
    </row>
    <row r="387" spans="2:30" x14ac:dyDescent="0.3">
      <c r="B387" s="38" t="s">
        <v>436</v>
      </c>
      <c r="C387">
        <f t="shared" si="44"/>
        <v>1.9499535466011961</v>
      </c>
      <c r="AC387" s="38" t="s">
        <v>836</v>
      </c>
      <c r="AD387">
        <f t="shared" si="45"/>
        <v>1.8122829647204339</v>
      </c>
    </row>
    <row r="388" spans="2:30" x14ac:dyDescent="0.3">
      <c r="B388" s="38" t="s">
        <v>437</v>
      </c>
      <c r="C388">
        <f t="shared" ref="C388:C403" si="46">AA4*(1+disc)^-24</f>
        <v>6.0932153410334253</v>
      </c>
      <c r="AC388" s="38" t="s">
        <v>837</v>
      </c>
      <c r="AD388">
        <f t="shared" ref="AD388:AD403" si="47">BB4*(1+disc)^-24</f>
        <v>6.0726327088945196</v>
      </c>
    </row>
    <row r="389" spans="2:30" x14ac:dyDescent="0.3">
      <c r="B389" s="38" t="s">
        <v>438</v>
      </c>
      <c r="C389">
        <f t="shared" si="46"/>
        <v>6.0412201967492036</v>
      </c>
      <c r="AC389" s="38" t="s">
        <v>838</v>
      </c>
      <c r="AD389">
        <f t="shared" si="47"/>
        <v>6.017768918217925</v>
      </c>
    </row>
    <row r="390" spans="2:30" x14ac:dyDescent="0.3">
      <c r="B390" s="38" t="s">
        <v>439</v>
      </c>
      <c r="C390">
        <f t="shared" si="46"/>
        <v>5.9647817228118392</v>
      </c>
      <c r="AC390" s="38" t="s">
        <v>839</v>
      </c>
      <c r="AD390">
        <f t="shared" si="47"/>
        <v>5.9362889335625395</v>
      </c>
    </row>
    <row r="391" spans="2:30" x14ac:dyDescent="0.3">
      <c r="B391" s="38" t="s">
        <v>440</v>
      </c>
      <c r="C391">
        <f t="shared" si="46"/>
        <v>5.8691326584019272</v>
      </c>
      <c r="AC391" s="38" t="s">
        <v>840</v>
      </c>
      <c r="AD391">
        <f t="shared" si="47"/>
        <v>5.8344475512168801</v>
      </c>
    </row>
    <row r="392" spans="2:30" x14ac:dyDescent="0.3">
      <c r="B392" s="38" t="s">
        <v>441</v>
      </c>
      <c r="C392">
        <f t="shared" si="46"/>
        <v>5.7546438542203058</v>
      </c>
      <c r="AC392" s="38" t="s">
        <v>841</v>
      </c>
      <c r="AD392">
        <f t="shared" si="47"/>
        <v>5.7130438253327096</v>
      </c>
    </row>
    <row r="393" spans="2:30" x14ac:dyDescent="0.3">
      <c r="B393" s="38" t="s">
        <v>442</v>
      </c>
      <c r="C393">
        <f t="shared" si="46"/>
        <v>5.6153276073654954</v>
      </c>
      <c r="AC393" s="38" t="s">
        <v>842</v>
      </c>
      <c r="AD393">
        <f t="shared" si="47"/>
        <v>5.5657614463844158</v>
      </c>
    </row>
    <row r="394" spans="2:30" x14ac:dyDescent="0.3">
      <c r="B394" s="38" t="s">
        <v>443</v>
      </c>
      <c r="C394">
        <f t="shared" si="46"/>
        <v>5.4429224848311</v>
      </c>
      <c r="AC394" s="38" t="s">
        <v>843</v>
      </c>
      <c r="AD394">
        <f t="shared" si="47"/>
        <v>5.3838293373126591</v>
      </c>
    </row>
    <row r="395" spans="2:30" x14ac:dyDescent="0.3">
      <c r="B395" s="38" t="s">
        <v>444</v>
      </c>
      <c r="C395">
        <f t="shared" si="46"/>
        <v>5.2331756655229285</v>
      </c>
      <c r="AC395" s="38" t="s">
        <v>844</v>
      </c>
      <c r="AD395">
        <f t="shared" si="47"/>
        <v>5.1631386491762958</v>
      </c>
    </row>
    <row r="396" spans="2:30" x14ac:dyDescent="0.3">
      <c r="B396" s="38" t="s">
        <v>445</v>
      </c>
      <c r="C396">
        <f t="shared" si="46"/>
        <v>4.9805569810001895</v>
      </c>
      <c r="AC396" s="38" t="s">
        <v>845</v>
      </c>
      <c r="AD396">
        <f t="shared" si="47"/>
        <v>4.8982731577818024</v>
      </c>
    </row>
    <row r="397" spans="2:30" x14ac:dyDescent="0.3">
      <c r="B397" s="38" t="s">
        <v>446</v>
      </c>
      <c r="C397">
        <f t="shared" si="46"/>
        <v>4.6793325390264977</v>
      </c>
      <c r="AC397" s="38" t="s">
        <v>846</v>
      </c>
      <c r="AD397">
        <f t="shared" si="47"/>
        <v>4.583710387052979</v>
      </c>
    </row>
    <row r="398" spans="2:30" x14ac:dyDescent="0.3">
      <c r="B398" s="38" t="s">
        <v>447</v>
      </c>
      <c r="C398">
        <f t="shared" si="46"/>
        <v>4.3308096523511788</v>
      </c>
      <c r="AC398" s="38" t="s">
        <v>847</v>
      </c>
      <c r="AD398">
        <f t="shared" si="47"/>
        <v>4.2218796069401279</v>
      </c>
    </row>
    <row r="399" spans="2:30" x14ac:dyDescent="0.3">
      <c r="B399" s="38" t="s">
        <v>448</v>
      </c>
      <c r="C399">
        <f t="shared" si="46"/>
        <v>3.938578260174364</v>
      </c>
      <c r="AC399" s="38" t="s">
        <v>848</v>
      </c>
      <c r="AD399">
        <f t="shared" si="47"/>
        <v>3.8177253490582577</v>
      </c>
    </row>
    <row r="400" spans="2:30" x14ac:dyDescent="0.3">
      <c r="B400" s="38" t="s">
        <v>449</v>
      </c>
      <c r="C400">
        <f t="shared" si="46"/>
        <v>3.5021092813929711</v>
      </c>
      <c r="AC400" s="38" t="s">
        <v>849</v>
      </c>
      <c r="AD400">
        <f t="shared" si="47"/>
        <v>3.3714602093171315</v>
      </c>
    </row>
    <row r="401" spans="2:30" x14ac:dyDescent="0.3">
      <c r="B401" s="38" t="s">
        <v>450</v>
      </c>
      <c r="C401">
        <f t="shared" si="46"/>
        <v>3.0285557752678476</v>
      </c>
      <c r="AC401" s="38" t="s">
        <v>850</v>
      </c>
      <c r="AD401">
        <f t="shared" si="47"/>
        <v>2.8913932057335714</v>
      </c>
    </row>
    <row r="402" spans="2:30" x14ac:dyDescent="0.3">
      <c r="B402" s="38" t="s">
        <v>451</v>
      </c>
      <c r="C402">
        <f t="shared" si="46"/>
        <v>2.5415918107044959</v>
      </c>
      <c r="AC402" s="38" t="s">
        <v>851</v>
      </c>
      <c r="AD402">
        <f t="shared" si="47"/>
        <v>2.4031267486009762</v>
      </c>
    </row>
    <row r="403" spans="2:30" x14ac:dyDescent="0.3">
      <c r="B403" s="39" t="s">
        <v>452</v>
      </c>
      <c r="C403">
        <f t="shared" si="46"/>
        <v>1.86356868471905</v>
      </c>
      <c r="AC403" s="39" t="s">
        <v>852</v>
      </c>
      <c r="AD403">
        <f t="shared" si="47"/>
        <v>1.7324163568687612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DE7D-94AD-42F3-874A-445A4B3B70E0}">
  <dimension ref="A1:BB403"/>
  <sheetViews>
    <sheetView workbookViewId="0">
      <selection activeCell="C1" sqref="C1"/>
    </sheetView>
  </sheetViews>
  <sheetFormatPr defaultColWidth="8.77734375" defaultRowHeight="14.4" x14ac:dyDescent="0.3"/>
  <cols>
    <col min="2" max="2" width="18.44140625" customWidth="1"/>
    <col min="3" max="3" width="12.77734375" customWidth="1"/>
    <col min="4" max="27" width="5" customWidth="1"/>
    <col min="28" max="28" width="8.77734375" customWidth="1"/>
    <col min="29" max="29" width="17.44140625" customWidth="1"/>
    <col min="30" max="30" width="12.77734375" customWidth="1"/>
    <col min="31" max="54" width="5" customWidth="1"/>
  </cols>
  <sheetData>
    <row r="1" spans="1:54" x14ac:dyDescent="0.3">
      <c r="A1" s="1" t="s">
        <v>1260</v>
      </c>
      <c r="C1" s="1" t="s">
        <v>9</v>
      </c>
      <c r="AC1" t="s">
        <v>1261</v>
      </c>
    </row>
    <row r="2" spans="1:54" x14ac:dyDescent="0.3">
      <c r="B2" t="s">
        <v>1255</v>
      </c>
      <c r="C2" s="2" t="s">
        <v>1266</v>
      </c>
      <c r="D2" t="s">
        <v>1267</v>
      </c>
      <c r="E2" t="s">
        <v>1268</v>
      </c>
      <c r="F2" t="s">
        <v>1269</v>
      </c>
      <c r="G2" t="s">
        <v>1270</v>
      </c>
      <c r="H2" t="s">
        <v>1271</v>
      </c>
      <c r="I2" t="s">
        <v>1272</v>
      </c>
      <c r="J2" t="s">
        <v>1273</v>
      </c>
      <c r="K2" t="s">
        <v>1274</v>
      </c>
      <c r="L2" t="s">
        <v>1281</v>
      </c>
      <c r="M2" t="s">
        <v>1282</v>
      </c>
      <c r="N2" t="s">
        <v>1283</v>
      </c>
      <c r="O2" t="s">
        <v>1284</v>
      </c>
      <c r="P2" t="s">
        <v>1285</v>
      </c>
      <c r="Q2" t="s">
        <v>1286</v>
      </c>
      <c r="R2" t="s">
        <v>1287</v>
      </c>
      <c r="S2" t="s">
        <v>1288</v>
      </c>
      <c r="T2" t="s">
        <v>1289</v>
      </c>
      <c r="U2" t="s">
        <v>1290</v>
      </c>
      <c r="V2" t="s">
        <v>1275</v>
      </c>
      <c r="W2" t="s">
        <v>1276</v>
      </c>
      <c r="X2" t="s">
        <v>1277</v>
      </c>
      <c r="Y2" t="s">
        <v>1278</v>
      </c>
      <c r="Z2" t="s">
        <v>1279</v>
      </c>
      <c r="AA2" t="s">
        <v>1280</v>
      </c>
      <c r="AC2" t="s">
        <v>1254</v>
      </c>
      <c r="AD2" s="2" t="s">
        <v>1266</v>
      </c>
      <c r="AE2" t="s">
        <v>1267</v>
      </c>
      <c r="AF2" t="s">
        <v>1268</v>
      </c>
      <c r="AG2" t="s">
        <v>1269</v>
      </c>
      <c r="AH2" t="s">
        <v>1270</v>
      </c>
      <c r="AI2" t="s">
        <v>1271</v>
      </c>
      <c r="AJ2" t="s">
        <v>1272</v>
      </c>
      <c r="AK2" t="s">
        <v>1273</v>
      </c>
      <c r="AL2" t="s">
        <v>1274</v>
      </c>
      <c r="AM2" t="s">
        <v>1281</v>
      </c>
      <c r="AN2" t="s">
        <v>1282</v>
      </c>
      <c r="AO2" t="s">
        <v>1283</v>
      </c>
      <c r="AP2" t="s">
        <v>1284</v>
      </c>
      <c r="AQ2" t="s">
        <v>1285</v>
      </c>
      <c r="AR2" t="s">
        <v>1286</v>
      </c>
      <c r="AS2" t="s">
        <v>1287</v>
      </c>
      <c r="AT2" t="s">
        <v>1288</v>
      </c>
      <c r="AU2" t="s">
        <v>1289</v>
      </c>
      <c r="AV2" t="s">
        <v>1290</v>
      </c>
      <c r="AW2" t="s">
        <v>1275</v>
      </c>
      <c r="AX2" t="s">
        <v>1276</v>
      </c>
      <c r="AY2" t="s">
        <v>1277</v>
      </c>
      <c r="AZ2" t="s">
        <v>1278</v>
      </c>
      <c r="BA2" t="s">
        <v>1279</v>
      </c>
      <c r="BB2" t="s">
        <v>1280</v>
      </c>
    </row>
    <row r="3" spans="1:54" x14ac:dyDescent="0.3">
      <c r="C3">
        <v>2025</v>
      </c>
      <c r="D3">
        <v>2026</v>
      </c>
      <c r="E3">
        <v>2027</v>
      </c>
      <c r="F3">
        <v>2028</v>
      </c>
      <c r="G3">
        <v>2029</v>
      </c>
      <c r="H3">
        <v>2030</v>
      </c>
      <c r="I3">
        <v>2031</v>
      </c>
      <c r="J3">
        <v>2032</v>
      </c>
      <c r="K3">
        <v>2033</v>
      </c>
      <c r="L3">
        <v>2034</v>
      </c>
      <c r="M3">
        <v>2035</v>
      </c>
      <c r="N3">
        <v>2036</v>
      </c>
      <c r="O3">
        <v>2037</v>
      </c>
      <c r="P3">
        <v>2038</v>
      </c>
      <c r="Q3">
        <v>2039</v>
      </c>
      <c r="R3">
        <v>2040</v>
      </c>
      <c r="S3">
        <v>2041</v>
      </c>
      <c r="T3">
        <v>2042</v>
      </c>
      <c r="U3">
        <v>2043</v>
      </c>
      <c r="V3">
        <v>2044</v>
      </c>
      <c r="W3">
        <v>2045</v>
      </c>
      <c r="X3">
        <v>2046</v>
      </c>
      <c r="Y3">
        <v>2047</v>
      </c>
      <c r="Z3">
        <v>2048</v>
      </c>
      <c r="AA3">
        <v>2049</v>
      </c>
      <c r="AD3">
        <v>2025</v>
      </c>
      <c r="AE3">
        <v>2026</v>
      </c>
      <c r="AF3">
        <v>2027</v>
      </c>
      <c r="AG3">
        <v>2028</v>
      </c>
      <c r="AH3">
        <v>2029</v>
      </c>
      <c r="AI3">
        <v>2030</v>
      </c>
      <c r="AJ3">
        <v>2031</v>
      </c>
      <c r="AK3">
        <v>2032</v>
      </c>
      <c r="AL3">
        <v>2033</v>
      </c>
      <c r="AM3">
        <v>2034</v>
      </c>
      <c r="AN3">
        <v>2035</v>
      </c>
      <c r="AO3">
        <v>2036</v>
      </c>
      <c r="AP3">
        <v>2037</v>
      </c>
      <c r="AQ3">
        <v>2038</v>
      </c>
      <c r="AR3">
        <v>2039</v>
      </c>
      <c r="AS3">
        <v>2040</v>
      </c>
      <c r="AT3">
        <v>2041</v>
      </c>
      <c r="AU3">
        <v>2042</v>
      </c>
      <c r="AV3">
        <v>2043</v>
      </c>
      <c r="AW3">
        <v>2044</v>
      </c>
      <c r="AX3">
        <v>2045</v>
      </c>
      <c r="AY3">
        <v>2046</v>
      </c>
      <c r="AZ3">
        <v>2047</v>
      </c>
      <c r="BA3">
        <v>2048</v>
      </c>
      <c r="BB3">
        <v>2049</v>
      </c>
    </row>
    <row r="4" spans="1:54" x14ac:dyDescent="0.3">
      <c r="B4" s="37" t="s">
        <v>53</v>
      </c>
      <c r="C4">
        <v>19.060728508167902</v>
      </c>
      <c r="D4">
        <v>19.078211399833549</v>
      </c>
      <c r="E4">
        <v>19.095756090633458</v>
      </c>
      <c r="F4">
        <v>19.113362940380775</v>
      </c>
      <c r="G4">
        <v>19.128168388067792</v>
      </c>
      <c r="H4">
        <v>19.143019172687225</v>
      </c>
      <c r="I4">
        <v>19.157915532147701</v>
      </c>
      <c r="J4">
        <v>19.172857706069131</v>
      </c>
      <c r="K4">
        <v>19.187845935799473</v>
      </c>
      <c r="L4">
        <v>19.200760813075796</v>
      </c>
      <c r="M4">
        <v>19.213711286325569</v>
      </c>
      <c r="N4">
        <v>19.226697531101763</v>
      </c>
      <c r="O4">
        <v>19.239719724207838</v>
      </c>
      <c r="P4">
        <v>19.252778043710521</v>
      </c>
      <c r="Q4">
        <v>19.264359054544919</v>
      </c>
      <c r="R4">
        <v>19.275969688811717</v>
      </c>
      <c r="S4">
        <v>19.287610088166492</v>
      </c>
      <c r="T4">
        <v>19.299280395288285</v>
      </c>
      <c r="U4">
        <v>19.310980753890625</v>
      </c>
      <c r="V4">
        <v>19.321271895418111</v>
      </c>
      <c r="W4">
        <v>19.331588608104489</v>
      </c>
      <c r="X4">
        <v>19.341931021694467</v>
      </c>
      <c r="Y4">
        <v>19.352299267017791</v>
      </c>
      <c r="Z4">
        <v>19.362693476003273</v>
      </c>
      <c r="AA4">
        <v>19.371769833974408</v>
      </c>
      <c r="AC4" s="37" t="s">
        <v>453</v>
      </c>
      <c r="AD4">
        <v>18.935661428289794</v>
      </c>
      <c r="AE4">
        <v>18.954963493237553</v>
      </c>
      <c r="AF4">
        <v>18.974340767864714</v>
      </c>
      <c r="AG4">
        <v>18.993793731678181</v>
      </c>
      <c r="AH4">
        <v>19.010143510961935</v>
      </c>
      <c r="AI4">
        <v>19.026548308047619</v>
      </c>
      <c r="AJ4">
        <v>19.043008436711574</v>
      </c>
      <c r="AK4">
        <v>19.059524213118937</v>
      </c>
      <c r="AL4">
        <v>19.076095955847521</v>
      </c>
      <c r="AM4">
        <v>19.090365404551221</v>
      </c>
      <c r="AN4">
        <v>19.10467793264846</v>
      </c>
      <c r="AO4">
        <v>19.119033769055029</v>
      </c>
      <c r="AP4">
        <v>19.13343314438487</v>
      </c>
      <c r="AQ4">
        <v>19.147876290967524</v>
      </c>
      <c r="AR4">
        <v>19.160676225534619</v>
      </c>
      <c r="AS4">
        <v>19.173511904406723</v>
      </c>
      <c r="AT4">
        <v>19.186383510291783</v>
      </c>
      <c r="AU4">
        <v>19.199291227255653</v>
      </c>
      <c r="AV4">
        <v>19.212235240736586</v>
      </c>
      <c r="AW4">
        <v>19.223598288088557</v>
      </c>
      <c r="AX4">
        <v>19.234991917768259</v>
      </c>
      <c r="AY4">
        <v>19.246416292826911</v>
      </c>
      <c r="AZ4">
        <v>19.257871577690032</v>
      </c>
      <c r="BA4">
        <v>19.269357938174963</v>
      </c>
      <c r="BB4">
        <v>19.279369619944962</v>
      </c>
    </row>
    <row r="5" spans="1:54" x14ac:dyDescent="0.3">
      <c r="B5" s="38" t="s">
        <v>54</v>
      </c>
      <c r="C5">
        <v>18.811197413613037</v>
      </c>
      <c r="D5">
        <v>18.830466916662946</v>
      </c>
      <c r="E5">
        <v>18.849809862939178</v>
      </c>
      <c r="F5">
        <v>18.869226681587826</v>
      </c>
      <c r="G5">
        <v>18.885393788476105</v>
      </c>
      <c r="H5">
        <v>18.901614670583808</v>
      </c>
      <c r="I5">
        <v>18.917889611908418</v>
      </c>
      <c r="J5">
        <v>18.934218898493544</v>
      </c>
      <c r="K5">
        <v>18.950602818449049</v>
      </c>
      <c r="L5">
        <v>18.964635020878095</v>
      </c>
      <c r="M5">
        <v>18.978709471748836</v>
      </c>
      <c r="N5">
        <v>18.992826381346006</v>
      </c>
      <c r="O5">
        <v>19.00698596145963</v>
      </c>
      <c r="P5">
        <v>19.021188425400524</v>
      </c>
      <c r="Q5">
        <v>19.033726600974621</v>
      </c>
      <c r="R5">
        <v>19.04629998634535</v>
      </c>
      <c r="S5">
        <v>19.05890875186579</v>
      </c>
      <c r="T5">
        <v>19.071553069128814</v>
      </c>
      <c r="U5">
        <v>19.084233110980421</v>
      </c>
      <c r="V5">
        <v>19.095437229816337</v>
      </c>
      <c r="W5">
        <v>19.106672003911665</v>
      </c>
      <c r="X5">
        <v>19.117937591172069</v>
      </c>
      <c r="Y5">
        <v>19.129234150836524</v>
      </c>
      <c r="Z5">
        <v>19.140561843494616</v>
      </c>
      <c r="AA5">
        <v>19.150476787511867</v>
      </c>
      <c r="AC5" s="38" t="s">
        <v>454</v>
      </c>
      <c r="AD5">
        <v>18.67118104107869</v>
      </c>
      <c r="AE5">
        <v>18.692386191046872</v>
      </c>
      <c r="AF5">
        <v>18.713680572192501</v>
      </c>
      <c r="AG5">
        <v>18.735064755181551</v>
      </c>
      <c r="AH5">
        <v>18.752853842534332</v>
      </c>
      <c r="AI5">
        <v>18.770708055440096</v>
      </c>
      <c r="AJ5">
        <v>18.788627767434271</v>
      </c>
      <c r="AK5">
        <v>18.806613354895021</v>
      </c>
      <c r="AL5">
        <v>18.824665197071699</v>
      </c>
      <c r="AM5">
        <v>18.840109998384985</v>
      </c>
      <c r="AN5">
        <v>18.855605810856432</v>
      </c>
      <c r="AO5">
        <v>18.871152907797683</v>
      </c>
      <c r="AP5">
        <v>18.886751564553585</v>
      </c>
      <c r="AQ5">
        <v>18.902402058523361</v>
      </c>
      <c r="AR5">
        <v>18.916204491862299</v>
      </c>
      <c r="AS5">
        <v>18.930049299897828</v>
      </c>
      <c r="AT5">
        <v>18.943936701558393</v>
      </c>
      <c r="AU5">
        <v>18.957866917408108</v>
      </c>
      <c r="AV5">
        <v>18.971840169664372</v>
      </c>
      <c r="AW5">
        <v>18.984160179766558</v>
      </c>
      <c r="AX5">
        <v>18.996516749016124</v>
      </c>
      <c r="AY5">
        <v>19.008910075100133</v>
      </c>
      <c r="AZ5">
        <v>19.02134035738602</v>
      </c>
      <c r="BA5">
        <v>19.033807796943318</v>
      </c>
      <c r="BB5">
        <v>19.044697387668847</v>
      </c>
    </row>
    <row r="6" spans="1:54" x14ac:dyDescent="0.3">
      <c r="B6" s="38" t="s">
        <v>55</v>
      </c>
      <c r="C6">
        <v>18.418305286009161</v>
      </c>
      <c r="D6">
        <v>18.441231536594522</v>
      </c>
      <c r="E6">
        <v>18.464247943903029</v>
      </c>
      <c r="F6">
        <v>18.487355034745622</v>
      </c>
      <c r="G6">
        <v>18.506608768577436</v>
      </c>
      <c r="H6">
        <v>18.525928662979339</v>
      </c>
      <c r="I6">
        <v>18.545315067840836</v>
      </c>
      <c r="J6">
        <v>18.564768335574286</v>
      </c>
      <c r="K6">
        <v>18.584288821139701</v>
      </c>
      <c r="L6">
        <v>18.601028785697071</v>
      </c>
      <c r="M6">
        <v>18.617820862640425</v>
      </c>
      <c r="N6">
        <v>18.634665312051411</v>
      </c>
      <c r="O6">
        <v>18.651562395877939</v>
      </c>
      <c r="P6">
        <v>18.668512377953427</v>
      </c>
      <c r="Q6">
        <v>18.683489892359898</v>
      </c>
      <c r="R6">
        <v>18.698510933856685</v>
      </c>
      <c r="S6">
        <v>18.713575713841315</v>
      </c>
      <c r="T6">
        <v>18.728684445255173</v>
      </c>
      <c r="U6">
        <v>18.743837342599967</v>
      </c>
      <c r="V6">
        <v>18.757260563327584</v>
      </c>
      <c r="W6">
        <v>18.77072183857215</v>
      </c>
      <c r="X6">
        <v>18.784221365451444</v>
      </c>
      <c r="Y6">
        <v>18.797759342755128</v>
      </c>
      <c r="Z6">
        <v>18.811335970966567</v>
      </c>
      <c r="AA6">
        <v>18.823247674888012</v>
      </c>
      <c r="AC6" s="38" t="s">
        <v>455</v>
      </c>
      <c r="AD6">
        <v>18.249238152520796</v>
      </c>
      <c r="AE6">
        <v>18.274426708989974</v>
      </c>
      <c r="AF6">
        <v>18.299724705686426</v>
      </c>
      <c r="AG6">
        <v>18.325132842233163</v>
      </c>
      <c r="AH6">
        <v>18.346283327825066</v>
      </c>
      <c r="AI6">
        <v>18.367513860903106</v>
      </c>
      <c r="AJ6">
        <v>18.388824900984588</v>
      </c>
      <c r="AK6">
        <v>18.41021691108282</v>
      </c>
      <c r="AL6">
        <v>18.431690357742209</v>
      </c>
      <c r="AM6">
        <v>18.45008514148007</v>
      </c>
      <c r="AN6">
        <v>18.468542780746006</v>
      </c>
      <c r="AO6">
        <v>18.487063613018911</v>
      </c>
      <c r="AP6">
        <v>18.505647978291726</v>
      </c>
      <c r="AQ6">
        <v>18.524296219097469</v>
      </c>
      <c r="AR6">
        <v>18.540756574734463</v>
      </c>
      <c r="AS6">
        <v>18.557269257046539</v>
      </c>
      <c r="AT6">
        <v>18.573834537241467</v>
      </c>
      <c r="AU6">
        <v>18.590452688558301</v>
      </c>
      <c r="AV6">
        <v>18.607123986289317</v>
      </c>
      <c r="AW6">
        <v>18.621858955713297</v>
      </c>
      <c r="AX6">
        <v>18.636639254032008</v>
      </c>
      <c r="AY6">
        <v>18.651465127582455</v>
      </c>
      <c r="AZ6">
        <v>18.666336824803842</v>
      </c>
      <c r="BA6">
        <v>18.681254596264797</v>
      </c>
      <c r="BB6">
        <v>18.694314468838357</v>
      </c>
    </row>
    <row r="7" spans="1:54" x14ac:dyDescent="0.3">
      <c r="B7" s="38" t="s">
        <v>56</v>
      </c>
      <c r="C7">
        <v>17.923795272810292</v>
      </c>
      <c r="D7">
        <v>17.951239849939888</v>
      </c>
      <c r="E7">
        <v>17.978794566131796</v>
      </c>
      <c r="F7">
        <v>18.006460064180143</v>
      </c>
      <c r="G7">
        <v>18.029565637760637</v>
      </c>
      <c r="H7">
        <v>18.052752328953794</v>
      </c>
      <c r="I7">
        <v>18.076020566941718</v>
      </c>
      <c r="J7">
        <v>18.099370784003831</v>
      </c>
      <c r="K7">
        <v>18.122803415547402</v>
      </c>
      <c r="L7">
        <v>18.142947060599976</v>
      </c>
      <c r="M7">
        <v>18.163154829405737</v>
      </c>
      <c r="N7">
        <v>18.183427042631656</v>
      </c>
      <c r="O7">
        <v>18.203764023251939</v>
      </c>
      <c r="P7">
        <v>18.224166096571814</v>
      </c>
      <c r="Q7">
        <v>18.242225619560266</v>
      </c>
      <c r="R7">
        <v>18.260338861097207</v>
      </c>
      <c r="S7">
        <v>18.278506082925102</v>
      </c>
      <c r="T7">
        <v>18.29672754870483</v>
      </c>
      <c r="U7">
        <v>18.315003524036594</v>
      </c>
      <c r="V7">
        <v>18.331246820729472</v>
      </c>
      <c r="W7">
        <v>18.347537316132076</v>
      </c>
      <c r="X7">
        <v>18.363875256005684</v>
      </c>
      <c r="Y7">
        <v>18.38026088820591</v>
      </c>
      <c r="Z7">
        <v>18.396694462710236</v>
      </c>
      <c r="AA7">
        <v>18.411156066879531</v>
      </c>
      <c r="AC7" s="38" t="s">
        <v>456</v>
      </c>
      <c r="AD7">
        <v>17.718354559324798</v>
      </c>
      <c r="AE7">
        <v>17.748467160448655</v>
      </c>
      <c r="AF7">
        <v>17.778713329054295</v>
      </c>
      <c r="AG7">
        <v>17.809093917482162</v>
      </c>
      <c r="AH7">
        <v>17.834441853294575</v>
      </c>
      <c r="AI7">
        <v>17.859887832840055</v>
      </c>
      <c r="AJ7">
        <v>17.885432418818699</v>
      </c>
      <c r="AK7">
        <v>17.911076178209989</v>
      </c>
      <c r="AL7">
        <v>17.936819682315903</v>
      </c>
      <c r="AM7">
        <v>17.958925435798719</v>
      </c>
      <c r="AN7">
        <v>17.981108449184706</v>
      </c>
      <c r="AO7">
        <v>18.003369137810424</v>
      </c>
      <c r="AP7">
        <v>18.025707920110989</v>
      </c>
      <c r="AQ7">
        <v>18.048125217652373</v>
      </c>
      <c r="AR7">
        <v>18.067946523420368</v>
      </c>
      <c r="AS7">
        <v>18.087832335097723</v>
      </c>
      <c r="AT7">
        <v>18.10778298785165</v>
      </c>
      <c r="AU7">
        <v>18.127798819366429</v>
      </c>
      <c r="AV7">
        <v>18.147880169870685</v>
      </c>
      <c r="AW7">
        <v>18.165686889270138</v>
      </c>
      <c r="AX7">
        <v>18.183549762093385</v>
      </c>
      <c r="AY7">
        <v>18.201469094885692</v>
      </c>
      <c r="AZ7">
        <v>18.219445196819347</v>
      </c>
      <c r="BA7">
        <v>18.237478379727861</v>
      </c>
      <c r="BB7">
        <v>18.253312480846663</v>
      </c>
    </row>
    <row r="8" spans="1:54" x14ac:dyDescent="0.3">
      <c r="B8" s="38" t="s">
        <v>57</v>
      </c>
      <c r="C8">
        <v>17.348663796142212</v>
      </c>
      <c r="D8">
        <v>17.380544515801532</v>
      </c>
      <c r="E8">
        <v>17.412555302496507</v>
      </c>
      <c r="F8">
        <v>17.444696912323888</v>
      </c>
      <c r="G8">
        <v>17.471674755317611</v>
      </c>
      <c r="H8">
        <v>17.498749111066356</v>
      </c>
      <c r="I8">
        <v>17.525920489817203</v>
      </c>
      <c r="J8">
        <v>17.553189405505815</v>
      </c>
      <c r="K8">
        <v>17.580556375793005</v>
      </c>
      <c r="L8">
        <v>17.604189060524856</v>
      </c>
      <c r="M8">
        <v>17.627898564694146</v>
      </c>
      <c r="N8">
        <v>17.651685273287555</v>
      </c>
      <c r="O8">
        <v>17.675549574075106</v>
      </c>
      <c r="P8">
        <v>17.699491857639295</v>
      </c>
      <c r="Q8">
        <v>17.720761091776396</v>
      </c>
      <c r="R8">
        <v>17.742095054453234</v>
      </c>
      <c r="S8">
        <v>17.763494062464147</v>
      </c>
      <c r="T8">
        <v>17.784958434940599</v>
      </c>
      <c r="U8">
        <v>17.806488493376815</v>
      </c>
      <c r="V8">
        <v>17.825730456500889</v>
      </c>
      <c r="W8">
        <v>17.845029801812011</v>
      </c>
      <c r="X8">
        <v>17.864386830500447</v>
      </c>
      <c r="Y8">
        <v>17.883801846344401</v>
      </c>
      <c r="Z8">
        <v>17.903275155744272</v>
      </c>
      <c r="AA8">
        <v>17.920501887797847</v>
      </c>
      <c r="AC8" s="38" t="s">
        <v>457</v>
      </c>
      <c r="AD8">
        <v>17.103593757140303</v>
      </c>
      <c r="AE8">
        <v>17.138513129651059</v>
      </c>
      <c r="AF8">
        <v>17.173589967599796</v>
      </c>
      <c r="AG8">
        <v>17.208825270669436</v>
      </c>
      <c r="AH8">
        <v>17.238370350232657</v>
      </c>
      <c r="AI8">
        <v>17.268031873913792</v>
      </c>
      <c r="AJ8">
        <v>17.297810508614187</v>
      </c>
      <c r="AK8">
        <v>17.327706926304028</v>
      </c>
      <c r="AL8">
        <v>17.357721804073726</v>
      </c>
      <c r="AM8">
        <v>17.383612251540253</v>
      </c>
      <c r="AN8">
        <v>17.409595083598777</v>
      </c>
      <c r="AO8">
        <v>17.435670797248793</v>
      </c>
      <c r="AP8">
        <v>17.461839893207745</v>
      </c>
      <c r="AQ8">
        <v>17.488102875949927</v>
      </c>
      <c r="AR8">
        <v>17.511407206562048</v>
      </c>
      <c r="AS8">
        <v>17.534789115060381</v>
      </c>
      <c r="AT8">
        <v>17.558249005751346</v>
      </c>
      <c r="AU8">
        <v>17.581787285992156</v>
      </c>
      <c r="AV8">
        <v>17.605404366223937</v>
      </c>
      <c r="AW8">
        <v>17.626461717447434</v>
      </c>
      <c r="AX8">
        <v>17.647587198529944</v>
      </c>
      <c r="AY8">
        <v>17.668781183906006</v>
      </c>
      <c r="AZ8">
        <v>17.690044051242346</v>
      </c>
      <c r="BA8">
        <v>17.711376181480357</v>
      </c>
      <c r="BB8">
        <v>17.730204935587775</v>
      </c>
    </row>
    <row r="9" spans="1:54" x14ac:dyDescent="0.3">
      <c r="B9" s="38" t="s">
        <v>58</v>
      </c>
      <c r="C9">
        <v>16.706981967403429</v>
      </c>
      <c r="D9">
        <v>16.742092785996498</v>
      </c>
      <c r="E9">
        <v>16.777347716587876</v>
      </c>
      <c r="F9">
        <v>16.812747588616919</v>
      </c>
      <c r="G9">
        <v>16.842710257536542</v>
      </c>
      <c r="H9">
        <v>16.872781322929143</v>
      </c>
      <c r="I9">
        <v>16.902961355745219</v>
      </c>
      <c r="J9">
        <v>16.933250931078494</v>
      </c>
      <c r="K9">
        <v>16.963650628207557</v>
      </c>
      <c r="L9">
        <v>16.990096121526566</v>
      </c>
      <c r="M9">
        <v>17.016628963101027</v>
      </c>
      <c r="N9">
        <v>17.043249591549014</v>
      </c>
      <c r="O9">
        <v>17.069958448689796</v>
      </c>
      <c r="P9">
        <v>17.096755979577914</v>
      </c>
      <c r="Q9">
        <v>17.120712513473453</v>
      </c>
      <c r="R9">
        <v>17.144743452868404</v>
      </c>
      <c r="S9">
        <v>17.168849164235088</v>
      </c>
      <c r="T9">
        <v>17.193030016782973</v>
      </c>
      <c r="U9">
        <v>17.217286382489238</v>
      </c>
      <c r="V9">
        <v>17.239160089539379</v>
      </c>
      <c r="W9">
        <v>17.261100830185413</v>
      </c>
      <c r="X9">
        <v>17.283108960933557</v>
      </c>
      <c r="Y9">
        <v>17.30518484140017</v>
      </c>
      <c r="Z9">
        <v>17.327328834353402</v>
      </c>
      <c r="AA9">
        <v>17.347085796049445</v>
      </c>
      <c r="AC9" s="38" t="s">
        <v>458</v>
      </c>
      <c r="AD9">
        <v>16.422197906316644</v>
      </c>
      <c r="AE9">
        <v>16.460559589849531</v>
      </c>
      <c r="AF9">
        <v>16.499095179945389</v>
      </c>
      <c r="AG9">
        <v>16.537805766979645</v>
      </c>
      <c r="AH9">
        <v>16.570538008503185</v>
      </c>
      <c r="AI9">
        <v>16.603400592530143</v>
      </c>
      <c r="AJ9">
        <v>16.636394260730228</v>
      </c>
      <c r="AK9">
        <v>16.669519760407688</v>
      </c>
      <c r="AL9">
        <v>16.702777844558888</v>
      </c>
      <c r="AM9">
        <v>16.731677129533214</v>
      </c>
      <c r="AN9">
        <v>16.760681091309497</v>
      </c>
      <c r="AO9">
        <v>16.789790292469696</v>
      </c>
      <c r="AP9">
        <v>16.819005299827499</v>
      </c>
      <c r="AQ9">
        <v>16.848326684473498</v>
      </c>
      <c r="AR9">
        <v>16.874508902486195</v>
      </c>
      <c r="AS9">
        <v>16.90077997359532</v>
      </c>
      <c r="AT9">
        <v>16.927140362483801</v>
      </c>
      <c r="AU9">
        <v>16.953590537372879</v>
      </c>
      <c r="AV9">
        <v>16.980130970061129</v>
      </c>
      <c r="AW9">
        <v>17.004005609311484</v>
      </c>
      <c r="AX9">
        <v>17.027959531908863</v>
      </c>
      <c r="AY9">
        <v>17.051993178233896</v>
      </c>
      <c r="AZ9">
        <v>17.076106992520398</v>
      </c>
      <c r="BA9">
        <v>17.100301422906497</v>
      </c>
      <c r="BB9">
        <v>17.121838425562082</v>
      </c>
    </row>
    <row r="10" spans="1:54" x14ac:dyDescent="0.3">
      <c r="B10" s="38" t="s">
        <v>59</v>
      </c>
      <c r="C10">
        <v>16.008404847135797</v>
      </c>
      <c r="D10">
        <v>16.044645871097376</v>
      </c>
      <c r="E10">
        <v>16.081033701802415</v>
      </c>
      <c r="F10">
        <v>16.117569169036638</v>
      </c>
      <c r="G10">
        <v>16.148855018286593</v>
      </c>
      <c r="H10">
        <v>16.180253571038374</v>
      </c>
      <c r="I10">
        <v>16.211765416372689</v>
      </c>
      <c r="J10">
        <v>16.24339114768329</v>
      </c>
      <c r="K10">
        <v>16.275131362721336</v>
      </c>
      <c r="L10">
        <v>16.303046243652116</v>
      </c>
      <c r="M10">
        <v>16.331053727325031</v>
      </c>
      <c r="N10">
        <v>16.359154279555067</v>
      </c>
      <c r="O10">
        <v>16.387348369616689</v>
      </c>
      <c r="P10">
        <v>16.415636470281449</v>
      </c>
      <c r="Q10">
        <v>16.441171542756731</v>
      </c>
      <c r="R10">
        <v>16.466786892577087</v>
      </c>
      <c r="S10">
        <v>16.492482918635844</v>
      </c>
      <c r="T10">
        <v>16.518260022869722</v>
      </c>
      <c r="U10">
        <v>16.544118610293555</v>
      </c>
      <c r="V10">
        <v>16.567756698411802</v>
      </c>
      <c r="W10">
        <v>16.591469019604855</v>
      </c>
      <c r="X10">
        <v>16.615255976576691</v>
      </c>
      <c r="Y10">
        <v>16.639117975632754</v>
      </c>
      <c r="Z10">
        <v>16.663055426729198</v>
      </c>
      <c r="AA10">
        <v>16.684680510711253</v>
      </c>
      <c r="AC10" s="38" t="s">
        <v>459</v>
      </c>
      <c r="AD10">
        <v>15.686513208533182</v>
      </c>
      <c r="AE10">
        <v>15.725974008154829</v>
      </c>
      <c r="AF10">
        <v>15.765610992551483</v>
      </c>
      <c r="AG10">
        <v>15.805425241478124</v>
      </c>
      <c r="AH10">
        <v>15.839483996408738</v>
      </c>
      <c r="AI10">
        <v>15.873677491594666</v>
      </c>
      <c r="AJ10">
        <v>15.908006483977319</v>
      </c>
      <c r="AK10">
        <v>15.942471736259444</v>
      </c>
      <c r="AL10">
        <v>15.977074016965044</v>
      </c>
      <c r="AM10">
        <v>16.007470482636229</v>
      </c>
      <c r="AN10">
        <v>16.03797725222103</v>
      </c>
      <c r="AO10">
        <v>16.068594916448784</v>
      </c>
      <c r="AP10">
        <v>16.099324070542174</v>
      </c>
      <c r="AQ10">
        <v>16.130165314266044</v>
      </c>
      <c r="AR10">
        <v>16.157971428732424</v>
      </c>
      <c r="AS10">
        <v>16.185872816969706</v>
      </c>
      <c r="AT10">
        <v>16.213869979120961</v>
      </c>
      <c r="AU10">
        <v>16.241963419199642</v>
      </c>
      <c r="AV10">
        <v>16.270153645133586</v>
      </c>
      <c r="AW10">
        <v>16.295856309176159</v>
      </c>
      <c r="AX10">
        <v>16.321646201970164</v>
      </c>
      <c r="AY10">
        <v>16.347523815596258</v>
      </c>
      <c r="AZ10">
        <v>16.373489646537973</v>
      </c>
      <c r="BA10">
        <v>16.399544195741697</v>
      </c>
      <c r="BB10">
        <v>16.423026592395278</v>
      </c>
    </row>
    <row r="11" spans="1:54" x14ac:dyDescent="0.3">
      <c r="B11" s="38" t="s">
        <v>60</v>
      </c>
      <c r="C11">
        <v>15.265082147577669</v>
      </c>
      <c r="D11">
        <v>15.299962378578442</v>
      </c>
      <c r="E11">
        <v>15.334978657977731</v>
      </c>
      <c r="F11">
        <v>15.370131737229421</v>
      </c>
      <c r="G11">
        <v>15.400671003104085</v>
      </c>
      <c r="H11">
        <v>15.431317590796823</v>
      </c>
      <c r="I11">
        <v>15.462072056669626</v>
      </c>
      <c r="J11">
        <v>15.492934961238493</v>
      </c>
      <c r="K11">
        <v>15.523906869217699</v>
      </c>
      <c r="L11">
        <v>15.551543532190159</v>
      </c>
      <c r="M11">
        <v>15.579270791855574</v>
      </c>
      <c r="N11">
        <v>15.607089106234348</v>
      </c>
      <c r="O11">
        <v>15.634998936851794</v>
      </c>
      <c r="P11">
        <v>15.663000748777693</v>
      </c>
      <c r="Q11">
        <v>15.688625208158983</v>
      </c>
      <c r="R11">
        <v>15.714330219019036</v>
      </c>
      <c r="S11">
        <v>15.740116187410853</v>
      </c>
      <c r="T11">
        <v>15.765983522591608</v>
      </c>
      <c r="U11">
        <v>15.791932637060471</v>
      </c>
      <c r="V11">
        <v>15.816101720976819</v>
      </c>
      <c r="W11">
        <v>15.840348145750921</v>
      </c>
      <c r="X11">
        <v>15.864672343381017</v>
      </c>
      <c r="Y11">
        <v>15.889074749872018</v>
      </c>
      <c r="Z11">
        <v>15.913555805291598</v>
      </c>
      <c r="AA11">
        <v>15.936033749081608</v>
      </c>
      <c r="AC11" s="38" t="s">
        <v>460</v>
      </c>
      <c r="AD11">
        <v>14.911785142587508</v>
      </c>
      <c r="AE11">
        <v>14.94959166364775</v>
      </c>
      <c r="AF11">
        <v>14.987560027791586</v>
      </c>
      <c r="AG11">
        <v>15.025691196797588</v>
      </c>
      <c r="AH11">
        <v>15.058781732778076</v>
      </c>
      <c r="AI11">
        <v>15.091999393819297</v>
      </c>
      <c r="AJ11">
        <v>15.125344882427918</v>
      </c>
      <c r="AK11">
        <v>15.15881890651009</v>
      </c>
      <c r="AL11">
        <v>15.192422179429286</v>
      </c>
      <c r="AM11">
        <v>15.222370291507412</v>
      </c>
      <c r="AN11">
        <v>15.252425283496079</v>
      </c>
      <c r="AO11">
        <v>15.282587725898273</v>
      </c>
      <c r="AP11">
        <v>15.312858193651305</v>
      </c>
      <c r="AQ11">
        <v>15.34323726617683</v>
      </c>
      <c r="AR11">
        <v>15.371002633528603</v>
      </c>
      <c r="AS11">
        <v>15.398862674623343</v>
      </c>
      <c r="AT11">
        <v>15.426817889748852</v>
      </c>
      <c r="AU11">
        <v>15.45486878317141</v>
      </c>
      <c r="AV11">
        <v>15.483015863182523</v>
      </c>
      <c r="AW11">
        <v>15.509159100902062</v>
      </c>
      <c r="AX11">
        <v>15.53539230838887</v>
      </c>
      <c r="AY11">
        <v>15.561716004910661</v>
      </c>
      <c r="AZ11">
        <v>15.588130714540588</v>
      </c>
      <c r="BA11">
        <v>15.614636966224463</v>
      </c>
      <c r="BB11">
        <v>15.638914938319269</v>
      </c>
    </row>
    <row r="12" spans="1:54" x14ac:dyDescent="0.3">
      <c r="B12" s="38" t="s">
        <v>61</v>
      </c>
      <c r="C12">
        <v>14.470708217693439</v>
      </c>
      <c r="D12">
        <v>14.502031554959594</v>
      </c>
      <c r="E12">
        <v>14.533471031757088</v>
      </c>
      <c r="F12">
        <v>14.565027278561574</v>
      </c>
      <c r="G12">
        <v>14.592898230618648</v>
      </c>
      <c r="H12">
        <v>14.620863796864082</v>
      </c>
      <c r="I12">
        <v>14.648924468118519</v>
      </c>
      <c r="J12">
        <v>14.677080739000553</v>
      </c>
      <c r="K12">
        <v>14.705333107969174</v>
      </c>
      <c r="L12">
        <v>14.730990315133958</v>
      </c>
      <c r="M12">
        <v>14.756730074945255</v>
      </c>
      <c r="N12">
        <v>14.782552811481036</v>
      </c>
      <c r="O12">
        <v>14.808458952215215</v>
      </c>
      <c r="P12">
        <v>14.834448928057833</v>
      </c>
      <c r="Q12">
        <v>14.858658299425461</v>
      </c>
      <c r="R12">
        <v>14.882943439852902</v>
      </c>
      <c r="S12">
        <v>14.907304741181523</v>
      </c>
      <c r="T12">
        <v>14.931742598494512</v>
      </c>
      <c r="U12">
        <v>14.956257410156828</v>
      </c>
      <c r="V12">
        <v>14.97967399017822</v>
      </c>
      <c r="W12">
        <v>15.003167004283043</v>
      </c>
      <c r="X12">
        <v>15.026736897341236</v>
      </c>
      <c r="Y12">
        <v>15.050384118545825</v>
      </c>
      <c r="Z12">
        <v>15.074109121475356</v>
      </c>
      <c r="AA12">
        <v>15.096338510157862</v>
      </c>
      <c r="AC12" s="38" t="s">
        <v>461</v>
      </c>
      <c r="AD12">
        <v>14.093143538068906</v>
      </c>
      <c r="AE12">
        <v>14.126878606456538</v>
      </c>
      <c r="AF12">
        <v>14.160750021744452</v>
      </c>
      <c r="AG12">
        <v>14.194758571541925</v>
      </c>
      <c r="AH12">
        <v>14.224759748306312</v>
      </c>
      <c r="AI12">
        <v>14.254871458996448</v>
      </c>
      <c r="AJ12">
        <v>14.285094307919403</v>
      </c>
      <c r="AK12">
        <v>14.315428904143841</v>
      </c>
      <c r="AL12">
        <v>14.345875861553273</v>
      </c>
      <c r="AM12">
        <v>14.3734911256073</v>
      </c>
      <c r="AN12">
        <v>14.40120240279491</v>
      </c>
      <c r="AO12">
        <v>14.429010208075566</v>
      </c>
      <c r="AP12">
        <v>14.456915060561922</v>
      </c>
      <c r="AQ12">
        <v>14.484917483568807</v>
      </c>
      <c r="AR12">
        <v>14.51096977769196</v>
      </c>
      <c r="AS12">
        <v>14.537109874577979</v>
      </c>
      <c r="AT12">
        <v>14.563338245403882</v>
      </c>
      <c r="AU12">
        <v>14.58965536525068</v>
      </c>
      <c r="AV12">
        <v>14.616061713151366</v>
      </c>
      <c r="AW12">
        <v>14.641210508634254</v>
      </c>
      <c r="AX12">
        <v>14.66644696683997</v>
      </c>
      <c r="AY12">
        <v>14.69177161088898</v>
      </c>
      <c r="AZ12">
        <v>14.717184968964725</v>
      </c>
      <c r="BA12">
        <v>14.742687574387025</v>
      </c>
      <c r="BB12">
        <v>14.766522103896467</v>
      </c>
    </row>
    <row r="13" spans="1:54" x14ac:dyDescent="0.3">
      <c r="B13" s="38" t="s">
        <v>62</v>
      </c>
      <c r="C13">
        <v>13.566115606765432</v>
      </c>
      <c r="D13">
        <v>13.593389603636927</v>
      </c>
      <c r="E13">
        <v>13.620760189840386</v>
      </c>
      <c r="F13">
        <v>13.648227889976276</v>
      </c>
      <c r="G13">
        <v>13.672853396437255</v>
      </c>
      <c r="H13">
        <v>13.697560122646694</v>
      </c>
      <c r="I13">
        <v>13.722348497789801</v>
      </c>
      <c r="J13">
        <v>13.747218954540674</v>
      </c>
      <c r="K13">
        <v>13.772171929103214</v>
      </c>
      <c r="L13">
        <v>13.795234171343475</v>
      </c>
      <c r="M13">
        <v>13.818369673898994</v>
      </c>
      <c r="N13">
        <v>13.841578825582467</v>
      </c>
      <c r="O13">
        <v>13.864862018498933</v>
      </c>
      <c r="P13">
        <v>13.888219648086533</v>
      </c>
      <c r="Q13">
        <v>13.910387484488206</v>
      </c>
      <c r="R13">
        <v>13.932624754156496</v>
      </c>
      <c r="S13">
        <v>13.954931830714372</v>
      </c>
      <c r="T13">
        <v>13.977309091051687</v>
      </c>
      <c r="U13">
        <v>13.99975691536714</v>
      </c>
      <c r="V13">
        <v>14.02185186734078</v>
      </c>
      <c r="W13">
        <v>14.044020818872703</v>
      </c>
      <c r="X13">
        <v>14.066264223414729</v>
      </c>
      <c r="Y13">
        <v>14.08858253905357</v>
      </c>
      <c r="Z13">
        <v>14.110976228579808</v>
      </c>
      <c r="AA13">
        <v>14.132466796137273</v>
      </c>
      <c r="AC13" s="38" t="s">
        <v>462</v>
      </c>
      <c r="AD13">
        <v>13.167266207210103</v>
      </c>
      <c r="AE13">
        <v>13.196399928636998</v>
      </c>
      <c r="AF13">
        <v>13.225645100933495</v>
      </c>
      <c r="AG13">
        <v>13.25500236009975</v>
      </c>
      <c r="AH13">
        <v>13.281285533227971</v>
      </c>
      <c r="AI13">
        <v>13.307661896248174</v>
      </c>
      <c r="AJ13">
        <v>13.334131961628303</v>
      </c>
      <c r="AK13">
        <v>13.360696246042028</v>
      </c>
      <c r="AL13">
        <v>13.387355270418205</v>
      </c>
      <c r="AM13">
        <v>13.411962285226927</v>
      </c>
      <c r="AN13">
        <v>13.436652952902893</v>
      </c>
      <c r="AO13">
        <v>13.46142773146396</v>
      </c>
      <c r="AP13">
        <v>13.486287082811488</v>
      </c>
      <c r="AQ13">
        <v>13.511231472778544</v>
      </c>
      <c r="AR13">
        <v>13.534879291948632</v>
      </c>
      <c r="AS13">
        <v>13.558606135945164</v>
      </c>
      <c r="AT13">
        <v>13.582412441331329</v>
      </c>
      <c r="AU13">
        <v>13.606298648478676</v>
      </c>
      <c r="AV13">
        <v>13.630265201616171</v>
      </c>
      <c r="AW13">
        <v>13.653784824415125</v>
      </c>
      <c r="AX13">
        <v>13.677387853589231</v>
      </c>
      <c r="AY13">
        <v>13.7010748092207</v>
      </c>
      <c r="AZ13">
        <v>13.724846216686529</v>
      </c>
      <c r="BA13">
        <v>13.748702606737933</v>
      </c>
      <c r="BB13">
        <v>13.771540617341184</v>
      </c>
    </row>
    <row r="14" spans="1:54" x14ac:dyDescent="0.3">
      <c r="B14" s="38" t="s">
        <v>63</v>
      </c>
      <c r="C14">
        <v>12.529841683257896</v>
      </c>
      <c r="D14">
        <v>12.553114479418138</v>
      </c>
      <c r="E14">
        <v>12.57646742323108</v>
      </c>
      <c r="F14">
        <v>12.599900960247933</v>
      </c>
      <c r="G14">
        <v>12.621244131729624</v>
      </c>
      <c r="H14">
        <v>12.642657005383745</v>
      </c>
      <c r="I14">
        <v>12.664139964123221</v>
      </c>
      <c r="J14">
        <v>12.685693394154537</v>
      </c>
      <c r="K14">
        <v>12.707317685018054</v>
      </c>
      <c r="L14">
        <v>12.727593678278204</v>
      </c>
      <c r="M14">
        <v>12.747934429949925</v>
      </c>
      <c r="N14">
        <v>12.768340301552279</v>
      </c>
      <c r="O14">
        <v>12.788811657855057</v>
      </c>
      <c r="P14">
        <v>12.809348866920688</v>
      </c>
      <c r="Q14">
        <v>12.829179074642804</v>
      </c>
      <c r="R14">
        <v>12.849072400559074</v>
      </c>
      <c r="S14">
        <v>12.869029203415824</v>
      </c>
      <c r="T14">
        <v>12.889049845284687</v>
      </c>
      <c r="U14">
        <v>12.909134691606853</v>
      </c>
      <c r="V14">
        <v>12.929548750205557</v>
      </c>
      <c r="W14">
        <v>12.950033858094764</v>
      </c>
      <c r="X14">
        <v>12.970590478082693</v>
      </c>
      <c r="Y14">
        <v>12.991219077955902</v>
      </c>
      <c r="Z14">
        <v>13.011920130555346</v>
      </c>
      <c r="AA14">
        <v>13.032322590876198</v>
      </c>
      <c r="AC14" s="38" t="s">
        <v>463</v>
      </c>
      <c r="AD14">
        <v>12.113288945714334</v>
      </c>
      <c r="AE14">
        <v>12.137888522710792</v>
      </c>
      <c r="AF14">
        <v>12.162578612765953</v>
      </c>
      <c r="AG14">
        <v>12.187359738054859</v>
      </c>
      <c r="AH14">
        <v>12.209894436461596</v>
      </c>
      <c r="AI14">
        <v>12.232507370109255</v>
      </c>
      <c r="AJ14">
        <v>12.255198981056608</v>
      </c>
      <c r="AK14">
        <v>12.277969715183453</v>
      </c>
      <c r="AL14">
        <v>12.300820022237771</v>
      </c>
      <c r="AM14">
        <v>12.322215061017737</v>
      </c>
      <c r="AN14">
        <v>12.343682411605352</v>
      </c>
      <c r="AO14">
        <v>12.36522248602556</v>
      </c>
      <c r="AP14">
        <v>12.386835700006015</v>
      </c>
      <c r="AQ14">
        <v>12.408522473025304</v>
      </c>
      <c r="AR14">
        <v>12.429444097121543</v>
      </c>
      <c r="AS14">
        <v>12.450436013488837</v>
      </c>
      <c r="AT14">
        <v>12.471498628428092</v>
      </c>
      <c r="AU14">
        <v>12.492632351995532</v>
      </c>
      <c r="AV14">
        <v>12.513837598053181</v>
      </c>
      <c r="AW14">
        <v>12.535330481831828</v>
      </c>
      <c r="AX14">
        <v>12.556901829574432</v>
      </c>
      <c r="AY14">
        <v>12.578552158208035</v>
      </c>
      <c r="AZ14">
        <v>12.600281990209753</v>
      </c>
      <c r="BA14">
        <v>12.622091853693147</v>
      </c>
      <c r="BB14">
        <v>12.643541663786172</v>
      </c>
    </row>
    <row r="15" spans="1:54" x14ac:dyDescent="0.3">
      <c r="B15" s="38" t="s">
        <v>64</v>
      </c>
      <c r="C15">
        <v>11.334560903178117</v>
      </c>
      <c r="D15">
        <v>11.354288418386698</v>
      </c>
      <c r="E15">
        <v>11.374084046332404</v>
      </c>
      <c r="F15">
        <v>11.393948182053768</v>
      </c>
      <c r="G15">
        <v>11.41242774556491</v>
      </c>
      <c r="H15">
        <v>11.430968730048875</v>
      </c>
      <c r="I15">
        <v>11.449571491614375</v>
      </c>
      <c r="J15">
        <v>11.468236389607963</v>
      </c>
      <c r="K15">
        <v>11.486963786655107</v>
      </c>
      <c r="L15">
        <v>11.504779081334529</v>
      </c>
      <c r="M15">
        <v>11.522653130856316</v>
      </c>
      <c r="N15">
        <v>11.540586284128118</v>
      </c>
      <c r="O15">
        <v>11.558578893377927</v>
      </c>
      <c r="P15">
        <v>11.576631314198202</v>
      </c>
      <c r="Q15">
        <v>11.594247269120494</v>
      </c>
      <c r="R15">
        <v>11.611921577374092</v>
      </c>
      <c r="S15">
        <v>11.62965459263105</v>
      </c>
      <c r="T15">
        <v>11.647446672028209</v>
      </c>
      <c r="U15">
        <v>11.665298176214726</v>
      </c>
      <c r="V15">
        <v>11.683996748420995</v>
      </c>
      <c r="W15">
        <v>11.70276417230839</v>
      </c>
      <c r="X15">
        <v>11.721600927080432</v>
      </c>
      <c r="Y15">
        <v>11.740507497348188</v>
      </c>
      <c r="Z15">
        <v>11.759484373214724</v>
      </c>
      <c r="AA15">
        <v>11.778661583104133</v>
      </c>
      <c r="AC15" s="38" t="s">
        <v>464</v>
      </c>
      <c r="AD15">
        <v>10.904145440919368</v>
      </c>
      <c r="AE15">
        <v>10.924722881256669</v>
      </c>
      <c r="AF15">
        <v>10.945375379273901</v>
      </c>
      <c r="AG15">
        <v>10.966103382214124</v>
      </c>
      <c r="AH15">
        <v>10.985359111650684</v>
      </c>
      <c r="AI15">
        <v>11.004682117580534</v>
      </c>
      <c r="AJ15">
        <v>11.024072797631783</v>
      </c>
      <c r="AK15">
        <v>11.043531553063554</v>
      </c>
      <c r="AL15">
        <v>11.063058788812841</v>
      </c>
      <c r="AM15">
        <v>11.081606757768245</v>
      </c>
      <c r="AN15">
        <v>11.100218759658555</v>
      </c>
      <c r="AO15">
        <v>11.118895179591648</v>
      </c>
      <c r="AP15">
        <v>11.137636406344308</v>
      </c>
      <c r="AQ15">
        <v>11.15644283241198</v>
      </c>
      <c r="AR15">
        <v>11.174779466672179</v>
      </c>
      <c r="AS15">
        <v>11.193179552471394</v>
      </c>
      <c r="AT15">
        <v>11.211643478246932</v>
      </c>
      <c r="AU15">
        <v>11.23017163624012</v>
      </c>
      <c r="AV15">
        <v>11.248764422549469</v>
      </c>
      <c r="AW15">
        <v>11.268193419660427</v>
      </c>
      <c r="AX15">
        <v>11.287696791191731</v>
      </c>
      <c r="AY15">
        <v>11.307275058653101</v>
      </c>
      <c r="AZ15">
        <v>11.326928749451179</v>
      </c>
      <c r="BA15">
        <v>11.346658396984113</v>
      </c>
      <c r="BB15">
        <v>11.366565791874841</v>
      </c>
    </row>
    <row r="16" spans="1:54" x14ac:dyDescent="0.3">
      <c r="B16" s="38" t="s">
        <v>65</v>
      </c>
      <c r="C16">
        <v>9.9697066587575272</v>
      </c>
      <c r="D16">
        <v>9.9867154603866375</v>
      </c>
      <c r="E16">
        <v>10.003784852343754</v>
      </c>
      <c r="F16">
        <v>10.020915204637516</v>
      </c>
      <c r="G16">
        <v>10.037071127354487</v>
      </c>
      <c r="H16">
        <v>10.053283040473815</v>
      </c>
      <c r="I16">
        <v>10.06955128947752</v>
      </c>
      <c r="J16">
        <v>10.085876223152592</v>
      </c>
      <c r="K16">
        <v>10.10225819363407</v>
      </c>
      <c r="L16">
        <v>10.118174277805585</v>
      </c>
      <c r="M16">
        <v>10.134145593257852</v>
      </c>
      <c r="N16">
        <v>10.150172490581459</v>
      </c>
      <c r="O16">
        <v>10.166255323876831</v>
      </c>
      <c r="P16">
        <v>10.182394450802123</v>
      </c>
      <c r="Q16">
        <v>10.198274944939548</v>
      </c>
      <c r="R16">
        <v>10.214211191737684</v>
      </c>
      <c r="S16">
        <v>10.230203552538642</v>
      </c>
      <c r="T16">
        <v>10.246252392404344</v>
      </c>
      <c r="U16">
        <v>10.262358080168775</v>
      </c>
      <c r="V16">
        <v>10.279568703304959</v>
      </c>
      <c r="W16">
        <v>10.296847340824559</v>
      </c>
      <c r="X16">
        <v>10.31419449907931</v>
      </c>
      <c r="Y16">
        <v>10.331610690388446</v>
      </c>
      <c r="Z16">
        <v>10.349096433133635</v>
      </c>
      <c r="AA16">
        <v>10.367098123126658</v>
      </c>
      <c r="AC16" s="38" t="s">
        <v>465</v>
      </c>
      <c r="AD16">
        <v>9.5308238578584703</v>
      </c>
      <c r="AE16">
        <v>9.5483004734469485</v>
      </c>
      <c r="AF16">
        <v>9.565842213153843</v>
      </c>
      <c r="AG16">
        <v>9.5834494826965262</v>
      </c>
      <c r="AH16">
        <v>9.6000318328136558</v>
      </c>
      <c r="AI16">
        <v>9.6166739708658024</v>
      </c>
      <c r="AJ16">
        <v>9.6333762708385482</v>
      </c>
      <c r="AK16">
        <v>9.6501391103194702</v>
      </c>
      <c r="AL16">
        <v>9.6669628705461363</v>
      </c>
      <c r="AM16">
        <v>9.6832924727019165</v>
      </c>
      <c r="AN16">
        <v>9.6996808063134523</v>
      </c>
      <c r="AO16">
        <v>9.71612824724955</v>
      </c>
      <c r="AP16">
        <v>9.7326351751626934</v>
      </c>
      <c r="AQ16">
        <v>9.7492019735419344</v>
      </c>
      <c r="AR16">
        <v>9.7654899483024042</v>
      </c>
      <c r="AS16">
        <v>9.7818371160453772</v>
      </c>
      <c r="AT16">
        <v>9.7982438627231208</v>
      </c>
      <c r="AU16">
        <v>9.8147105782788433</v>
      </c>
      <c r="AV16">
        <v>9.8312376567041682</v>
      </c>
      <c r="AW16">
        <v>9.8488599028246266</v>
      </c>
      <c r="AX16">
        <v>9.8665539938422011</v>
      </c>
      <c r="AY16">
        <v>9.8843204677452245</v>
      </c>
      <c r="AZ16">
        <v>9.9021598689088339</v>
      </c>
      <c r="BA16">
        <v>9.9200727482000559</v>
      </c>
      <c r="BB16">
        <v>9.9384972305680019</v>
      </c>
    </row>
    <row r="17" spans="2:54" x14ac:dyDescent="0.3">
      <c r="B17" s="38" t="s">
        <v>66</v>
      </c>
      <c r="C17">
        <v>8.4797141949118</v>
      </c>
      <c r="D17">
        <v>8.4946017823953532</v>
      </c>
      <c r="E17">
        <v>8.5095451014625763</v>
      </c>
      <c r="F17">
        <v>8.5245445123875356</v>
      </c>
      <c r="G17">
        <v>8.5387103127671793</v>
      </c>
      <c r="H17">
        <v>8.5529285396385131</v>
      </c>
      <c r="I17">
        <v>8.5671995390925364</v>
      </c>
      <c r="J17">
        <v>8.5815236606876777</v>
      </c>
      <c r="K17">
        <v>8.5959012574958606</v>
      </c>
      <c r="L17">
        <v>8.6100246843261523</v>
      </c>
      <c r="M17">
        <v>8.6242006960203934</v>
      </c>
      <c r="N17">
        <v>8.6384296519789103</v>
      </c>
      <c r="O17">
        <v>8.6527119153734606</v>
      </c>
      <c r="P17">
        <v>8.667047853199497</v>
      </c>
      <c r="Q17">
        <v>8.681393433562496</v>
      </c>
      <c r="R17">
        <v>8.6957931427698796</v>
      </c>
      <c r="S17">
        <v>8.7102473578208492</v>
      </c>
      <c r="T17">
        <v>8.7247564597795346</v>
      </c>
      <c r="U17">
        <v>8.7393208338329469</v>
      </c>
      <c r="V17">
        <v>8.7551593834112573</v>
      </c>
      <c r="W17">
        <v>8.7710660413740982</v>
      </c>
      <c r="X17">
        <v>8.7870413509938867</v>
      </c>
      <c r="Y17">
        <v>8.8030858622097679</v>
      </c>
      <c r="Z17">
        <v>8.8192001317352187</v>
      </c>
      <c r="AA17">
        <v>8.8358990683124823</v>
      </c>
      <c r="AC17" s="38" t="s">
        <v>466</v>
      </c>
      <c r="AD17">
        <v>8.04356205544617</v>
      </c>
      <c r="AE17">
        <v>8.0586172603486599</v>
      </c>
      <c r="AF17">
        <v>8.0737309069344612</v>
      </c>
      <c r="AG17">
        <v>8.0889033788396834</v>
      </c>
      <c r="AH17">
        <v>8.1031969196993856</v>
      </c>
      <c r="AI17">
        <v>8.1175450212381843</v>
      </c>
      <c r="AJ17">
        <v>8.1319480477139319</v>
      </c>
      <c r="AK17">
        <v>8.1464063670759437</v>
      </c>
      <c r="AL17">
        <v>8.1609203510156973</v>
      </c>
      <c r="AM17">
        <v>8.1751686785286779</v>
      </c>
      <c r="AN17">
        <v>8.189471483718501</v>
      </c>
      <c r="AO17">
        <v>8.2038291415618829</v>
      </c>
      <c r="AP17">
        <v>8.2182420310184519</v>
      </c>
      <c r="AQ17">
        <v>8.2327105350880174</v>
      </c>
      <c r="AR17">
        <v>8.2471899324838525</v>
      </c>
      <c r="AS17">
        <v>8.2617254046954862</v>
      </c>
      <c r="AT17">
        <v>8.276317344148918</v>
      </c>
      <c r="AU17">
        <v>8.2909661475503338</v>
      </c>
      <c r="AV17">
        <v>8.3056722159495759</v>
      </c>
      <c r="AW17">
        <v>8.3216310868629968</v>
      </c>
      <c r="AX17">
        <v>8.337660312966543</v>
      </c>
      <c r="AY17">
        <v>8.353760458965235</v>
      </c>
      <c r="AZ17">
        <v>8.3699320965915707</v>
      </c>
      <c r="BA17">
        <v>8.3861758047238641</v>
      </c>
      <c r="BB17">
        <v>8.4029933019934457</v>
      </c>
    </row>
    <row r="18" spans="2:54" x14ac:dyDescent="0.3">
      <c r="B18" s="38" t="s">
        <v>67</v>
      </c>
      <c r="C18">
        <v>6.9245446176521384</v>
      </c>
      <c r="D18">
        <v>6.9374498297635174</v>
      </c>
      <c r="E18">
        <v>6.950406605474643</v>
      </c>
      <c r="F18">
        <v>6.9634153007020076</v>
      </c>
      <c r="G18">
        <v>6.975916555656152</v>
      </c>
      <c r="H18">
        <v>6.9884682048268454</v>
      </c>
      <c r="I18">
        <v>7.0010706050347</v>
      </c>
      <c r="J18">
        <v>7.0137241168271194</v>
      </c>
      <c r="K18">
        <v>7.0264291045285825</v>
      </c>
      <c r="L18">
        <v>7.0388555399378667</v>
      </c>
      <c r="M18">
        <v>7.0513329809266416</v>
      </c>
      <c r="N18">
        <v>7.0638618045939303</v>
      </c>
      <c r="O18">
        <v>7.0764423921639468</v>
      </c>
      <c r="P18">
        <v>7.0890751290440228</v>
      </c>
      <c r="Q18">
        <v>7.1017924688716194</v>
      </c>
      <c r="R18">
        <v>7.1145624735029296</v>
      </c>
      <c r="S18">
        <v>7.1273855404900255</v>
      </c>
      <c r="T18">
        <v>7.1402620718612386</v>
      </c>
      <c r="U18">
        <v>7.153192474185655</v>
      </c>
      <c r="V18">
        <v>7.1676748542132405</v>
      </c>
      <c r="W18">
        <v>7.1822258432236898</v>
      </c>
      <c r="X18">
        <v>7.1968460297729937</v>
      </c>
      <c r="Y18">
        <v>7.2115360099201338</v>
      </c>
      <c r="Z18">
        <v>7.22629638734933</v>
      </c>
      <c r="AA18">
        <v>7.2416678003747332</v>
      </c>
      <c r="AC18" s="38" t="s">
        <v>467</v>
      </c>
      <c r="AD18">
        <v>6.5070969202247957</v>
      </c>
      <c r="AE18">
        <v>6.5199201031273404</v>
      </c>
      <c r="AF18">
        <v>6.5327959606630435</v>
      </c>
      <c r="AG18">
        <v>6.5457248613880266</v>
      </c>
      <c r="AH18">
        <v>6.5581119505662233</v>
      </c>
      <c r="AI18">
        <v>6.5705502118680732</v>
      </c>
      <c r="AJ18">
        <v>6.5830400119081709</v>
      </c>
      <c r="AK18">
        <v>6.5955817212004559</v>
      </c>
      <c r="AL18">
        <v>6.6081757142130071</v>
      </c>
      <c r="AM18">
        <v>6.6204704187419328</v>
      </c>
      <c r="AN18">
        <v>6.6328166060004605</v>
      </c>
      <c r="AO18">
        <v>6.6452146604067233</v>
      </c>
      <c r="AP18">
        <v>6.6576649706720303</v>
      </c>
      <c r="AQ18">
        <v>6.6701679298639229</v>
      </c>
      <c r="AR18">
        <v>6.6827658231814908</v>
      </c>
      <c r="AS18">
        <v>6.6954168569211729</v>
      </c>
      <c r="AT18">
        <v>6.7081214352398026</v>
      </c>
      <c r="AU18">
        <v>6.7208799669421273</v>
      </c>
      <c r="AV18">
        <v>6.7336928655512756</v>
      </c>
      <c r="AW18">
        <v>6.7480358917364596</v>
      </c>
      <c r="AX18">
        <v>6.7624482193486912</v>
      </c>
      <c r="AY18">
        <v>6.7769304483174819</v>
      </c>
      <c r="AZ18">
        <v>6.7914831863962668</v>
      </c>
      <c r="BA18">
        <v>6.8061070492965969</v>
      </c>
      <c r="BB18">
        <v>6.8213165536902105</v>
      </c>
    </row>
    <row r="19" spans="2:54" x14ac:dyDescent="0.3">
      <c r="B19" s="38" t="s">
        <v>68</v>
      </c>
      <c r="C19">
        <v>4.7075711634685335</v>
      </c>
      <c r="D19">
        <v>4.7178092802879448</v>
      </c>
      <c r="E19">
        <v>4.7280942871521621</v>
      </c>
      <c r="F19">
        <v>4.7384265421366853</v>
      </c>
      <c r="G19">
        <v>4.7489086188927745</v>
      </c>
      <c r="H19">
        <v>4.7594396657454716</v>
      </c>
      <c r="I19">
        <v>4.7700200648772579</v>
      </c>
      <c r="J19">
        <v>4.7806502026583271</v>
      </c>
      <c r="K19">
        <v>4.7913304697032046</v>
      </c>
      <c r="L19">
        <v>4.8020504942429909</v>
      </c>
      <c r="M19">
        <v>4.8128226510755194</v>
      </c>
      <c r="N19">
        <v>4.8236473662454316</v>
      </c>
      <c r="O19">
        <v>4.8345250706602032</v>
      </c>
      <c r="P19">
        <v>4.8454562001582158</v>
      </c>
      <c r="Q19">
        <v>4.8562660365729524</v>
      </c>
      <c r="R19">
        <v>4.8671293094608554</v>
      </c>
      <c r="S19">
        <v>4.8780464687986216</v>
      </c>
      <c r="T19">
        <v>4.8890179698589611</v>
      </c>
      <c r="U19">
        <v>4.9000442732866114</v>
      </c>
      <c r="V19">
        <v>4.9125136078373481</v>
      </c>
      <c r="W19">
        <v>4.925052733519296</v>
      </c>
      <c r="X19">
        <v>4.9376623147551042</v>
      </c>
      <c r="Y19">
        <v>4.950343024807883</v>
      </c>
      <c r="Z19">
        <v>4.9630955459243671</v>
      </c>
      <c r="AA19">
        <v>4.9767283622253222</v>
      </c>
      <c r="AC19" s="38" t="s">
        <v>468</v>
      </c>
      <c r="AD19">
        <v>4.342547159896708</v>
      </c>
      <c r="AE19">
        <v>4.3524177850062671</v>
      </c>
      <c r="AF19">
        <v>4.3623345663685642</v>
      </c>
      <c r="AG19">
        <v>4.3722978631859837</v>
      </c>
      <c r="AH19">
        <v>4.382406010340083</v>
      </c>
      <c r="AI19">
        <v>4.3925623718461431</v>
      </c>
      <c r="AJ19">
        <v>4.4027673304143722</v>
      </c>
      <c r="AK19">
        <v>4.4130212730878897</v>
      </c>
      <c r="AL19">
        <v>4.4233245913049846</v>
      </c>
      <c r="AM19">
        <v>4.4336451395730689</v>
      </c>
      <c r="AN19">
        <v>4.4440168645216866</v>
      </c>
      <c r="AO19">
        <v>4.4544401922124832</v>
      </c>
      <c r="AP19">
        <v>4.4649155537471747</v>
      </c>
      <c r="AQ19">
        <v>4.4754433853427704</v>
      </c>
      <c r="AR19">
        <v>4.4858424699526367</v>
      </c>
      <c r="AS19">
        <v>4.4962938381851352</v>
      </c>
      <c r="AT19">
        <v>4.5067979383657688</v>
      </c>
      <c r="AU19">
        <v>4.5173552243040751</v>
      </c>
      <c r="AV19">
        <v>4.5279661553779249</v>
      </c>
      <c r="AW19">
        <v>4.5399786471496544</v>
      </c>
      <c r="AX19">
        <v>4.5520595775866939</v>
      </c>
      <c r="AY19">
        <v>4.5642096106216563</v>
      </c>
      <c r="AZ19">
        <v>4.5764294193820927</v>
      </c>
      <c r="BA19">
        <v>4.5887196863502666</v>
      </c>
      <c r="BB19">
        <v>4.6018670777339645</v>
      </c>
    </row>
    <row r="20" spans="2:54" x14ac:dyDescent="0.3">
      <c r="B20" s="38" t="s">
        <v>69</v>
      </c>
      <c r="C20">
        <f t="shared" ref="C20:C35" si="0">D4*(1+disc)^-1</f>
        <v>18.169725142698617</v>
      </c>
      <c r="AC20" s="38" t="s">
        <v>469</v>
      </c>
      <c r="AD20">
        <f t="shared" ref="AD20:AD35" si="1">AE4*(1+disc)^-1</f>
        <v>18.052346184035763</v>
      </c>
    </row>
    <row r="21" spans="2:54" x14ac:dyDescent="0.3">
      <c r="B21" s="38" t="s">
        <v>70</v>
      </c>
      <c r="C21">
        <f t="shared" si="0"/>
        <v>17.933778015869471</v>
      </c>
      <c r="AC21" s="38" t="s">
        <v>470</v>
      </c>
      <c r="AD21">
        <f t="shared" si="1"/>
        <v>17.802272562901781</v>
      </c>
    </row>
    <row r="22" spans="2:54" x14ac:dyDescent="0.3">
      <c r="B22" s="38" t="s">
        <v>71</v>
      </c>
      <c r="C22">
        <f t="shared" si="0"/>
        <v>17.563077653899544</v>
      </c>
      <c r="AC22" s="38" t="s">
        <v>471</v>
      </c>
      <c r="AD22">
        <f t="shared" si="1"/>
        <v>17.404215913323785</v>
      </c>
    </row>
    <row r="23" spans="2:54" x14ac:dyDescent="0.3">
      <c r="B23" s="38" t="s">
        <v>72</v>
      </c>
      <c r="C23">
        <f t="shared" si="0"/>
        <v>17.096418904704656</v>
      </c>
      <c r="AC23" s="38" t="s">
        <v>472</v>
      </c>
      <c r="AD23">
        <f t="shared" si="1"/>
        <v>16.903302057570148</v>
      </c>
    </row>
    <row r="24" spans="2:54" x14ac:dyDescent="0.3">
      <c r="B24" s="38" t="s">
        <v>73</v>
      </c>
      <c r="C24">
        <f t="shared" si="0"/>
        <v>16.5528995388586</v>
      </c>
      <c r="AC24" s="38" t="s">
        <v>473</v>
      </c>
      <c r="AD24">
        <f t="shared" si="1"/>
        <v>16.322393456810531</v>
      </c>
    </row>
    <row r="25" spans="2:54" x14ac:dyDescent="0.3">
      <c r="B25" s="38" t="s">
        <v>74</v>
      </c>
      <c r="C25">
        <f t="shared" si="0"/>
        <v>15.944850272377616</v>
      </c>
      <c r="AC25" s="38" t="s">
        <v>474</v>
      </c>
      <c r="AD25">
        <f t="shared" si="1"/>
        <v>15.676723418904315</v>
      </c>
    </row>
    <row r="26" spans="2:54" x14ac:dyDescent="0.3">
      <c r="B26" s="38" t="s">
        <v>75</v>
      </c>
      <c r="C26">
        <f t="shared" si="0"/>
        <v>15.280615115330834</v>
      </c>
      <c r="AC26" s="38" t="s">
        <v>475</v>
      </c>
      <c r="AD26">
        <f t="shared" si="1"/>
        <v>14.977118103004598</v>
      </c>
    </row>
    <row r="27" spans="2:54" x14ac:dyDescent="0.3">
      <c r="B27" s="38" t="s">
        <v>76</v>
      </c>
      <c r="C27">
        <f t="shared" si="0"/>
        <v>14.571392741503278</v>
      </c>
      <c r="AC27" s="38" t="s">
        <v>476</v>
      </c>
      <c r="AD27">
        <f t="shared" si="1"/>
        <v>14.237706346331189</v>
      </c>
    </row>
    <row r="28" spans="2:54" x14ac:dyDescent="0.3">
      <c r="B28" s="38" t="s">
        <v>77</v>
      </c>
      <c r="C28">
        <f t="shared" si="0"/>
        <v>13.81145862377104</v>
      </c>
      <c r="AC28" s="38" t="s">
        <v>477</v>
      </c>
      <c r="AD28">
        <f t="shared" si="1"/>
        <v>13.454170101387179</v>
      </c>
    </row>
    <row r="29" spans="2:54" x14ac:dyDescent="0.3">
      <c r="B29" s="38" t="s">
        <v>78</v>
      </c>
      <c r="C29">
        <f t="shared" si="0"/>
        <v>12.946085336797072</v>
      </c>
      <c r="AC29" s="38" t="s">
        <v>478</v>
      </c>
      <c r="AD29">
        <f t="shared" si="1"/>
        <v>12.567999932035235</v>
      </c>
    </row>
    <row r="30" spans="2:54" x14ac:dyDescent="0.3">
      <c r="B30" s="38" t="s">
        <v>79</v>
      </c>
      <c r="C30">
        <f t="shared" si="0"/>
        <v>11.955347123255368</v>
      </c>
      <c r="AC30" s="38" t="s">
        <v>479</v>
      </c>
      <c r="AD30">
        <f t="shared" si="1"/>
        <v>11.559893831153135</v>
      </c>
    </row>
    <row r="31" spans="2:54" x14ac:dyDescent="0.3">
      <c r="B31" s="38" t="s">
        <v>80</v>
      </c>
      <c r="C31">
        <f t="shared" si="0"/>
        <v>10.813608017511141</v>
      </c>
      <c r="AC31" s="38" t="s">
        <v>480</v>
      </c>
      <c r="AD31">
        <f t="shared" si="1"/>
        <v>10.404497982149207</v>
      </c>
    </row>
    <row r="32" spans="2:54" x14ac:dyDescent="0.3">
      <c r="B32" s="38" t="s">
        <v>81</v>
      </c>
      <c r="C32">
        <f t="shared" si="0"/>
        <v>9.5111575813206066</v>
      </c>
      <c r="AC32" s="38" t="s">
        <v>481</v>
      </c>
      <c r="AD32">
        <f t="shared" si="1"/>
        <v>9.0936194985209031</v>
      </c>
    </row>
    <row r="33" spans="2:30" x14ac:dyDescent="0.3">
      <c r="B33" s="38" t="s">
        <v>82</v>
      </c>
      <c r="C33">
        <f t="shared" si="0"/>
        <v>8.0900969356146213</v>
      </c>
      <c r="AC33" s="38" t="s">
        <v>482</v>
      </c>
      <c r="AD33">
        <f t="shared" si="1"/>
        <v>7.6748735812844373</v>
      </c>
    </row>
    <row r="34" spans="2:30" x14ac:dyDescent="0.3">
      <c r="B34" s="38" t="s">
        <v>83</v>
      </c>
      <c r="C34">
        <f t="shared" si="0"/>
        <v>6.6070950759652547</v>
      </c>
      <c r="AC34" s="38" t="s">
        <v>483</v>
      </c>
      <c r="AD34">
        <f t="shared" si="1"/>
        <v>6.2094477172641334</v>
      </c>
    </row>
    <row r="35" spans="2:30" x14ac:dyDescent="0.3">
      <c r="B35" s="38" t="s">
        <v>84</v>
      </c>
      <c r="C35">
        <f t="shared" si="0"/>
        <v>4.4931516955123278</v>
      </c>
      <c r="AC35" s="38" t="s">
        <v>484</v>
      </c>
      <c r="AD35">
        <f t="shared" si="1"/>
        <v>4.145159795244064</v>
      </c>
    </row>
    <row r="36" spans="2:30" x14ac:dyDescent="0.3">
      <c r="B36" s="38" t="s">
        <v>85</v>
      </c>
      <c r="C36">
        <f t="shared" ref="C36:C51" si="2">E4*(1+disc)^-2</f>
        <v>17.320413687649392</v>
      </c>
      <c r="AC36" s="38" t="s">
        <v>485</v>
      </c>
      <c r="AD36">
        <f t="shared" ref="AD36:AD51" si="3">AF4*(1+disc)^-2</f>
        <v>17.210286410761643</v>
      </c>
    </row>
    <row r="37" spans="2:30" x14ac:dyDescent="0.3">
      <c r="B37" s="38" t="s">
        <v>86</v>
      </c>
      <c r="C37">
        <f t="shared" si="2"/>
        <v>17.097333209015126</v>
      </c>
      <c r="AC37" s="38" t="s">
        <v>486</v>
      </c>
      <c r="AD37">
        <f t="shared" si="3"/>
        <v>16.973859929426304</v>
      </c>
    </row>
    <row r="38" spans="2:30" x14ac:dyDescent="0.3">
      <c r="B38" s="38" t="s">
        <v>87</v>
      </c>
      <c r="C38">
        <f t="shared" si="2"/>
        <v>16.747617182678482</v>
      </c>
      <c r="AC38" s="38" t="s">
        <v>487</v>
      </c>
      <c r="AD38">
        <f t="shared" si="3"/>
        <v>16.59838975572465</v>
      </c>
    </row>
    <row r="39" spans="2:30" x14ac:dyDescent="0.3">
      <c r="B39" s="38" t="s">
        <v>88</v>
      </c>
      <c r="C39">
        <f t="shared" si="2"/>
        <v>16.307296658622942</v>
      </c>
      <c r="AC39" s="38" t="s">
        <v>488</v>
      </c>
      <c r="AD39">
        <f t="shared" si="3"/>
        <v>16.125817078507296</v>
      </c>
    </row>
    <row r="40" spans="2:30" x14ac:dyDescent="0.3">
      <c r="B40" s="38" t="s">
        <v>89</v>
      </c>
      <c r="C40">
        <f t="shared" si="2"/>
        <v>15.793700954645356</v>
      </c>
      <c r="AC40" s="38" t="s">
        <v>489</v>
      </c>
      <c r="AD40">
        <f t="shared" si="3"/>
        <v>15.57695235156444</v>
      </c>
    </row>
    <row r="41" spans="2:30" x14ac:dyDescent="0.3">
      <c r="B41" s="38" t="s">
        <v>90</v>
      </c>
      <c r="C41">
        <f t="shared" si="2"/>
        <v>15.217548949286055</v>
      </c>
      <c r="AC41" s="38" t="s">
        <v>490</v>
      </c>
      <c r="AD41">
        <f t="shared" si="3"/>
        <v>14.965165696095589</v>
      </c>
    </row>
    <row r="42" spans="2:30" x14ac:dyDescent="0.3">
      <c r="B42" s="38" t="s">
        <v>91</v>
      </c>
      <c r="C42">
        <f t="shared" si="2"/>
        <v>14.585971611612166</v>
      </c>
      <c r="AC42" s="38" t="s">
        <v>491</v>
      </c>
      <c r="AD42">
        <f t="shared" si="3"/>
        <v>14.299873916146469</v>
      </c>
    </row>
    <row r="43" spans="2:30" x14ac:dyDescent="0.3">
      <c r="B43" s="38" t="s">
        <v>92</v>
      </c>
      <c r="C43">
        <f t="shared" si="2"/>
        <v>13.909277694310866</v>
      </c>
      <c r="AC43" s="38" t="s">
        <v>492</v>
      </c>
      <c r="AD43">
        <f t="shared" si="3"/>
        <v>13.594158755366516</v>
      </c>
    </row>
    <row r="44" spans="2:30" x14ac:dyDescent="0.3">
      <c r="B44" s="38" t="s">
        <v>93</v>
      </c>
      <c r="C44">
        <f t="shared" si="2"/>
        <v>13.182286650119806</v>
      </c>
      <c r="AC44" s="38" t="s">
        <v>493</v>
      </c>
      <c r="AD44">
        <f t="shared" si="3"/>
        <v>12.844217706797687</v>
      </c>
    </row>
    <row r="45" spans="2:30" x14ac:dyDescent="0.3">
      <c r="B45" s="38" t="s">
        <v>94</v>
      </c>
      <c r="C45">
        <f t="shared" si="2"/>
        <v>12.354431011193093</v>
      </c>
      <c r="AC45" s="38" t="s">
        <v>494</v>
      </c>
      <c r="AD45">
        <f t="shared" si="3"/>
        <v>11.996049978170969</v>
      </c>
    </row>
    <row r="46" spans="2:30" x14ac:dyDescent="0.3">
      <c r="B46" s="38" t="s">
        <v>95</v>
      </c>
      <c r="C46">
        <f t="shared" si="2"/>
        <v>11.407226687737939</v>
      </c>
      <c r="AC46" s="38" t="s">
        <v>495</v>
      </c>
      <c r="AD46">
        <f t="shared" si="3"/>
        <v>11.031817335842133</v>
      </c>
    </row>
    <row r="47" spans="2:30" x14ac:dyDescent="0.3">
      <c r="B47" s="38" t="s">
        <v>96</v>
      </c>
      <c r="C47">
        <f t="shared" si="2"/>
        <v>10.316629520482905</v>
      </c>
      <c r="AC47" s="38" t="s">
        <v>496</v>
      </c>
      <c r="AD47">
        <f t="shared" si="3"/>
        <v>9.9277781217903858</v>
      </c>
    </row>
    <row r="48" spans="2:30" x14ac:dyDescent="0.3">
      <c r="B48" s="38" t="s">
        <v>97</v>
      </c>
      <c r="C48">
        <f t="shared" si="2"/>
        <v>9.0737277572278945</v>
      </c>
      <c r="AC48" s="38" t="s">
        <v>497</v>
      </c>
      <c r="AD48">
        <f t="shared" si="3"/>
        <v>8.6765008736089264</v>
      </c>
    </row>
    <row r="49" spans="2:30" x14ac:dyDescent="0.3">
      <c r="B49" s="38" t="s">
        <v>98</v>
      </c>
      <c r="C49">
        <f t="shared" si="2"/>
        <v>7.718408255294853</v>
      </c>
      <c r="AC49" s="38" t="s">
        <v>498</v>
      </c>
      <c r="AD49">
        <f t="shared" si="3"/>
        <v>7.323111933727402</v>
      </c>
    </row>
    <row r="50" spans="2:30" x14ac:dyDescent="0.3">
      <c r="B50" s="38" t="s">
        <v>99</v>
      </c>
      <c r="C50">
        <f t="shared" si="2"/>
        <v>6.3042236784350498</v>
      </c>
      <c r="AC50" s="38" t="s">
        <v>499</v>
      </c>
      <c r="AD50">
        <f t="shared" si="3"/>
        <v>5.9254385130730549</v>
      </c>
    </row>
    <row r="51" spans="2:30" x14ac:dyDescent="0.3">
      <c r="B51" s="38" t="s">
        <v>100</v>
      </c>
      <c r="C51">
        <f t="shared" si="2"/>
        <v>4.2885208953761103</v>
      </c>
      <c r="AC51" s="38" t="s">
        <v>500</v>
      </c>
      <c r="AD51">
        <f t="shared" si="3"/>
        <v>3.9567660465928016</v>
      </c>
    </row>
    <row r="52" spans="2:30" x14ac:dyDescent="0.3">
      <c r="B52" s="38" t="s">
        <v>101</v>
      </c>
      <c r="C52">
        <f t="shared" ref="C52:C67" si="4">F4*(1+disc)^-3</f>
        <v>16.510841542279039</v>
      </c>
      <c r="AC52" s="38" t="s">
        <v>501</v>
      </c>
      <c r="AD52">
        <f t="shared" ref="AD52:AD67" si="5">AG4*(1+disc)^-3</f>
        <v>16.407553164175081</v>
      </c>
    </row>
    <row r="53" spans="2:30" x14ac:dyDescent="0.3">
      <c r="B53" s="38" t="s">
        <v>102</v>
      </c>
      <c r="C53">
        <f t="shared" si="4"/>
        <v>16.299947462768881</v>
      </c>
      <c r="AC53" s="38" t="s">
        <v>502</v>
      </c>
      <c r="AD53">
        <f t="shared" si="5"/>
        <v>16.184053346447726</v>
      </c>
    </row>
    <row r="54" spans="2:30" x14ac:dyDescent="0.3">
      <c r="B54" s="38" t="s">
        <v>103</v>
      </c>
      <c r="C54">
        <f t="shared" si="4"/>
        <v>15.970072376413452</v>
      </c>
      <c r="AC54" s="38" t="s">
        <v>503</v>
      </c>
      <c r="AD54">
        <f t="shared" si="5"/>
        <v>15.829938747204977</v>
      </c>
    </row>
    <row r="55" spans="2:30" x14ac:dyDescent="0.3">
      <c r="B55" s="38" t="s">
        <v>104</v>
      </c>
      <c r="C55">
        <f t="shared" si="4"/>
        <v>15.554657219894303</v>
      </c>
      <c r="AC55" s="38" t="s">
        <v>504</v>
      </c>
      <c r="AD55">
        <f t="shared" si="5"/>
        <v>15.384164921699307</v>
      </c>
    </row>
    <row r="56" spans="2:30" x14ac:dyDescent="0.3">
      <c r="B56" s="38" t="s">
        <v>105</v>
      </c>
      <c r="C56">
        <f t="shared" si="4"/>
        <v>15.069385087851321</v>
      </c>
      <c r="AC56" s="38" t="s">
        <v>505</v>
      </c>
      <c r="AD56">
        <f t="shared" si="5"/>
        <v>14.865630295362864</v>
      </c>
    </row>
    <row r="57" spans="2:30" x14ac:dyDescent="0.3">
      <c r="B57" s="38" t="s">
        <v>106</v>
      </c>
      <c r="C57">
        <f t="shared" si="4"/>
        <v>14.523483501666703</v>
      </c>
      <c r="AC57" s="38" t="s">
        <v>506</v>
      </c>
      <c r="AD57">
        <f t="shared" si="5"/>
        <v>14.285978418727691</v>
      </c>
    </row>
    <row r="58" spans="2:30" x14ac:dyDescent="0.3">
      <c r="B58" s="38" t="s">
        <v>107</v>
      </c>
      <c r="C58">
        <f t="shared" si="4"/>
        <v>13.922962245145568</v>
      </c>
      <c r="AC58" s="38" t="s">
        <v>507</v>
      </c>
      <c r="AD58">
        <f t="shared" si="5"/>
        <v>13.653320584367238</v>
      </c>
    </row>
    <row r="59" spans="2:30" x14ac:dyDescent="0.3">
      <c r="B59" s="38" t="s">
        <v>108</v>
      </c>
      <c r="C59">
        <f t="shared" si="4"/>
        <v>13.277297689000687</v>
      </c>
      <c r="AC59" s="38" t="s">
        <v>508</v>
      </c>
      <c r="AD59">
        <f t="shared" si="5"/>
        <v>12.979756999717168</v>
      </c>
    </row>
    <row r="60" spans="2:30" x14ac:dyDescent="0.3">
      <c r="B60" s="38" t="s">
        <v>109</v>
      </c>
      <c r="C60">
        <f t="shared" si="4"/>
        <v>12.581818186858071</v>
      </c>
      <c r="AC60" s="38" t="s">
        <v>509</v>
      </c>
      <c r="AD60">
        <f t="shared" si="5"/>
        <v>12.261966156174861</v>
      </c>
    </row>
    <row r="61" spans="2:30" x14ac:dyDescent="0.3">
      <c r="B61" s="38" t="s">
        <v>110</v>
      </c>
      <c r="C61">
        <f t="shared" si="4"/>
        <v>11.789852404687421</v>
      </c>
      <c r="AC61" s="38" t="s">
        <v>510</v>
      </c>
      <c r="AD61">
        <f t="shared" si="5"/>
        <v>11.450169407277615</v>
      </c>
    </row>
    <row r="62" spans="2:30" x14ac:dyDescent="0.3">
      <c r="B62" s="38" t="s">
        <v>111</v>
      </c>
      <c r="C62">
        <f t="shared" si="4"/>
        <v>10.884268187235012</v>
      </c>
      <c r="AC62" s="38" t="s">
        <v>511</v>
      </c>
      <c r="AD62">
        <f t="shared" si="5"/>
        <v>10.527899568560509</v>
      </c>
    </row>
    <row r="63" spans="2:30" x14ac:dyDescent="0.3">
      <c r="B63" s="38" t="s">
        <v>112</v>
      </c>
      <c r="C63">
        <f t="shared" si="4"/>
        <v>9.8425208353774032</v>
      </c>
      <c r="AC63" s="38" t="s">
        <v>512</v>
      </c>
      <c r="AD63">
        <f t="shared" si="5"/>
        <v>9.4729324109397464</v>
      </c>
    </row>
    <row r="64" spans="2:30" x14ac:dyDescent="0.3">
      <c r="B64" s="38" t="s">
        <v>113</v>
      </c>
      <c r="C64">
        <f t="shared" si="4"/>
        <v>8.6564433254616269</v>
      </c>
      <c r="AC64" s="38" t="s">
        <v>513</v>
      </c>
      <c r="AD64">
        <f t="shared" si="5"/>
        <v>8.2785439867802832</v>
      </c>
    </row>
    <row r="65" spans="2:30" x14ac:dyDescent="0.3">
      <c r="B65" s="38" t="s">
        <v>114</v>
      </c>
      <c r="C65">
        <f t="shared" si="4"/>
        <v>7.3638220601555213</v>
      </c>
      <c r="AC65" s="38" t="s">
        <v>514</v>
      </c>
      <c r="AD65">
        <f t="shared" si="5"/>
        <v>6.9874988695300146</v>
      </c>
    </row>
    <row r="66" spans="2:30" x14ac:dyDescent="0.3">
      <c r="B66" s="38" t="s">
        <v>115</v>
      </c>
      <c r="C66">
        <f t="shared" si="4"/>
        <v>6.015259950935758</v>
      </c>
      <c r="AC66" s="38" t="s">
        <v>515</v>
      </c>
      <c r="AD66">
        <f t="shared" si="5"/>
        <v>5.6544432449092117</v>
      </c>
    </row>
    <row r="67" spans="2:30" x14ac:dyDescent="0.3">
      <c r="B67" s="38" t="s">
        <v>116</v>
      </c>
      <c r="C67">
        <f t="shared" si="4"/>
        <v>4.0932310049771603</v>
      </c>
      <c r="AC67" s="38" t="s">
        <v>516</v>
      </c>
      <c r="AD67">
        <f t="shared" si="5"/>
        <v>3.7769552861988842</v>
      </c>
    </row>
    <row r="68" spans="2:30" x14ac:dyDescent="0.3">
      <c r="B68" s="38" t="s">
        <v>117</v>
      </c>
      <c r="C68">
        <f t="shared" ref="C68:C83" si="6">G4*(1+disc)^-4</f>
        <v>15.736791471099217</v>
      </c>
      <c r="AC68" s="38" t="s">
        <v>517</v>
      </c>
      <c r="AD68">
        <f t="shared" ref="AD68:AD83" si="7">AH4*(1+disc)^-4</f>
        <v>15.639692112617221</v>
      </c>
    </row>
    <row r="69" spans="2:30" x14ac:dyDescent="0.3">
      <c r="B69" s="38" t="s">
        <v>118</v>
      </c>
      <c r="C69">
        <f t="shared" si="6"/>
        <v>15.537060207198527</v>
      </c>
      <c r="AC69" s="38" t="s">
        <v>518</v>
      </c>
      <c r="AD69">
        <f t="shared" si="7"/>
        <v>15.428019265663448</v>
      </c>
    </row>
    <row r="70" spans="2:30" x14ac:dyDescent="0.3">
      <c r="B70" s="38" t="s">
        <v>119</v>
      </c>
      <c r="C70">
        <f t="shared" si="6"/>
        <v>15.2254328339138</v>
      </c>
      <c r="AC70" s="38" t="s">
        <v>519</v>
      </c>
      <c r="AD70">
        <f t="shared" si="7"/>
        <v>15.093532697034727</v>
      </c>
    </row>
    <row r="71" spans="2:30" x14ac:dyDescent="0.3">
      <c r="B71" s="38" t="s">
        <v>120</v>
      </c>
      <c r="C71">
        <f t="shared" si="6"/>
        <v>14.832968269608351</v>
      </c>
      <c r="AC71" s="38" t="s">
        <v>520</v>
      </c>
      <c r="AD71">
        <f t="shared" si="7"/>
        <v>14.672439449237364</v>
      </c>
    </row>
    <row r="72" spans="2:30" x14ac:dyDescent="0.3">
      <c r="B72" s="38" t="s">
        <v>121</v>
      </c>
      <c r="C72">
        <f t="shared" si="6"/>
        <v>14.373990059958647</v>
      </c>
      <c r="AC72" s="38" t="s">
        <v>521</v>
      </c>
      <c r="AD72">
        <f t="shared" si="7"/>
        <v>14.182049948515408</v>
      </c>
    </row>
    <row r="73" spans="2:30" x14ac:dyDescent="0.3">
      <c r="B73" s="38" t="s">
        <v>122</v>
      </c>
      <c r="C73">
        <f t="shared" si="6"/>
        <v>13.856539411077929</v>
      </c>
      <c r="AC73" s="38" t="s">
        <v>522</v>
      </c>
      <c r="AD73">
        <f t="shared" si="7"/>
        <v>13.632622628228514</v>
      </c>
    </row>
    <row r="74" spans="2:30" x14ac:dyDescent="0.3">
      <c r="B74" s="38" t="s">
        <v>123</v>
      </c>
      <c r="C74">
        <f t="shared" si="6"/>
        <v>13.285702988599683</v>
      </c>
      <c r="AC74" s="38" t="s">
        <v>523</v>
      </c>
      <c r="AD74">
        <f t="shared" si="7"/>
        <v>13.031182683271878</v>
      </c>
    </row>
    <row r="75" spans="2:30" x14ac:dyDescent="0.3">
      <c r="B75" s="38" t="s">
        <v>124</v>
      </c>
      <c r="C75">
        <f t="shared" si="6"/>
        <v>12.670170147709307</v>
      </c>
      <c r="AC75" s="38" t="s">
        <v>524</v>
      </c>
      <c r="AD75">
        <f t="shared" si="7"/>
        <v>12.388896998907308</v>
      </c>
    </row>
    <row r="76" spans="2:30" x14ac:dyDescent="0.3">
      <c r="B76" s="38" t="s">
        <v>125</v>
      </c>
      <c r="C76">
        <f t="shared" si="6"/>
        <v>12.005613488716037</v>
      </c>
      <c r="AC76" s="38" t="s">
        <v>525</v>
      </c>
      <c r="AD76">
        <f t="shared" si="7"/>
        <v>11.70274504825155</v>
      </c>
    </row>
    <row r="77" spans="2:30" x14ac:dyDescent="0.3">
      <c r="B77" s="38" t="s">
        <v>126</v>
      </c>
      <c r="C77">
        <f t="shared" si="6"/>
        <v>11.248690326715518</v>
      </c>
      <c r="AC77" s="38" t="s">
        <v>526</v>
      </c>
      <c r="AD77">
        <f t="shared" si="7"/>
        <v>10.926546476604271</v>
      </c>
    </row>
    <row r="78" spans="2:30" x14ac:dyDescent="0.3">
      <c r="B78" s="38" t="s">
        <v>127</v>
      </c>
      <c r="C78">
        <f t="shared" si="6"/>
        <v>10.383528782126479</v>
      </c>
      <c r="AC78" s="38" t="s">
        <v>527</v>
      </c>
      <c r="AD78">
        <f t="shared" si="7"/>
        <v>10.045110369824586</v>
      </c>
    </row>
    <row r="79" spans="2:30" x14ac:dyDescent="0.3">
      <c r="B79" s="38" t="s">
        <v>128</v>
      </c>
      <c r="C79">
        <f t="shared" si="6"/>
        <v>9.38903254965979</v>
      </c>
      <c r="AC79" s="38" t="s">
        <v>528</v>
      </c>
      <c r="AD79">
        <f t="shared" si="7"/>
        <v>9.0376821276325678</v>
      </c>
    </row>
    <row r="80" spans="2:30" x14ac:dyDescent="0.3">
      <c r="B80" s="38" t="s">
        <v>129</v>
      </c>
      <c r="C80">
        <f t="shared" si="6"/>
        <v>8.2575232561366807</v>
      </c>
      <c r="AC80" s="38" t="s">
        <v>529</v>
      </c>
      <c r="AD80">
        <f t="shared" si="7"/>
        <v>7.8979699469366409</v>
      </c>
    </row>
    <row r="81" spans="2:30" x14ac:dyDescent="0.3">
      <c r="B81" s="38" t="s">
        <v>130</v>
      </c>
      <c r="C81">
        <f t="shared" si="6"/>
        <v>7.0248181058445232</v>
      </c>
      <c r="AC81" s="38" t="s">
        <v>530</v>
      </c>
      <c r="AD81">
        <f t="shared" si="7"/>
        <v>6.6665201595626398</v>
      </c>
    </row>
    <row r="82" spans="2:30" x14ac:dyDescent="0.3">
      <c r="B82" s="38" t="s">
        <v>131</v>
      </c>
      <c r="C82">
        <f t="shared" si="6"/>
        <v>5.7391038142799777</v>
      </c>
      <c r="AC82" s="38" t="s">
        <v>531</v>
      </c>
      <c r="AD82">
        <f t="shared" si="7"/>
        <v>5.3953749316930484</v>
      </c>
    </row>
    <row r="83" spans="2:30" x14ac:dyDescent="0.3">
      <c r="B83" s="38" t="s">
        <v>132</v>
      </c>
      <c r="C83">
        <f t="shared" si="6"/>
        <v>3.9069388733235839</v>
      </c>
      <c r="AC83" s="38" t="s">
        <v>532</v>
      </c>
      <c r="AD83">
        <f t="shared" si="7"/>
        <v>3.605416270249604</v>
      </c>
    </row>
    <row r="84" spans="2:30" x14ac:dyDescent="0.3">
      <c r="B84" s="38" t="s">
        <v>133</v>
      </c>
      <c r="C84">
        <f t="shared" ref="C84:C99" si="8">H4*(1+disc)^-5</f>
        <v>14.999056427007833</v>
      </c>
      <c r="AC84" s="38" t="s">
        <v>533</v>
      </c>
      <c r="AD84">
        <f t="shared" ref="AD84:AD99" si="9">AI4*(1+disc)^-5</f>
        <v>14.907798456931495</v>
      </c>
    </row>
    <row r="85" spans="2:30" x14ac:dyDescent="0.3">
      <c r="B85" s="38" t="s">
        <v>134</v>
      </c>
      <c r="C85">
        <f t="shared" si="8"/>
        <v>14.809909682906515</v>
      </c>
      <c r="AC85" s="38" t="s">
        <v>534</v>
      </c>
      <c r="AD85">
        <f t="shared" si="9"/>
        <v>14.707340924577601</v>
      </c>
    </row>
    <row r="86" spans="2:30" x14ac:dyDescent="0.3">
      <c r="B86" s="38" t="s">
        <v>135</v>
      </c>
      <c r="C86">
        <f t="shared" si="8"/>
        <v>14.515549865572345</v>
      </c>
      <c r="AC86" s="38" t="s">
        <v>535</v>
      </c>
      <c r="AD86">
        <f t="shared" si="9"/>
        <v>14.391427722989695</v>
      </c>
    </row>
    <row r="87" spans="2:30" x14ac:dyDescent="0.3">
      <c r="B87" s="38" t="s">
        <v>136</v>
      </c>
      <c r="C87">
        <f t="shared" si="8"/>
        <v>14.14480382650971</v>
      </c>
      <c r="AC87" s="38" t="s">
        <v>536</v>
      </c>
      <c r="AD87">
        <f t="shared" si="9"/>
        <v>13.993689447221842</v>
      </c>
    </row>
    <row r="88" spans="2:30" x14ac:dyDescent="0.3">
      <c r="B88" s="38" t="s">
        <v>137</v>
      </c>
      <c r="C88">
        <f t="shared" si="8"/>
        <v>13.710727808987176</v>
      </c>
      <c r="AC88" s="38" t="s">
        <v>537</v>
      </c>
      <c r="AD88">
        <f t="shared" si="9"/>
        <v>13.529954816622833</v>
      </c>
    </row>
    <row r="89" spans="2:30" x14ac:dyDescent="0.3">
      <c r="B89" s="38" t="s">
        <v>138</v>
      </c>
      <c r="C89">
        <f t="shared" si="8"/>
        <v>13.220265667615285</v>
      </c>
      <c r="AC89" s="38" t="s">
        <v>538</v>
      </c>
      <c r="AD89">
        <f t="shared" si="9"/>
        <v>13.009198816605283</v>
      </c>
    </row>
    <row r="90" spans="2:30" x14ac:dyDescent="0.3">
      <c r="B90" s="38" t="s">
        <v>139</v>
      </c>
      <c r="C90">
        <f t="shared" si="8"/>
        <v>12.677652053003291</v>
      </c>
      <c r="AC90" s="38" t="s">
        <v>539</v>
      </c>
      <c r="AD90">
        <f t="shared" si="9"/>
        <v>12.437441672745832</v>
      </c>
    </row>
    <row r="91" spans="2:30" x14ac:dyDescent="0.3">
      <c r="B91" s="38" t="s">
        <v>140</v>
      </c>
      <c r="C91">
        <f t="shared" si="8"/>
        <v>12.09084111547433</v>
      </c>
      <c r="AC91" s="38" t="s">
        <v>540</v>
      </c>
      <c r="AD91">
        <f t="shared" si="9"/>
        <v>11.82497642938354</v>
      </c>
    </row>
    <row r="92" spans="2:30" x14ac:dyDescent="0.3">
      <c r="B92" s="38" t="s">
        <v>141</v>
      </c>
      <c r="C92">
        <f t="shared" si="8"/>
        <v>11.455829361214391</v>
      </c>
      <c r="AC92" s="38" t="s">
        <v>541</v>
      </c>
      <c r="AD92">
        <f t="shared" si="9"/>
        <v>11.169064787768136</v>
      </c>
    </row>
    <row r="93" spans="2:30" x14ac:dyDescent="0.3">
      <c r="B93" s="38" t="s">
        <v>142</v>
      </c>
      <c r="C93">
        <f t="shared" si="8"/>
        <v>10.732396772868599</v>
      </c>
      <c r="AC93" s="38" t="s">
        <v>542</v>
      </c>
      <c r="AD93">
        <f t="shared" si="9"/>
        <v>10.426901310225714</v>
      </c>
    </row>
    <row r="94" spans="2:30" x14ac:dyDescent="0.3">
      <c r="B94" s="38" t="s">
        <v>143</v>
      </c>
      <c r="C94">
        <f t="shared" si="8"/>
        <v>9.9058525774039321</v>
      </c>
      <c r="AC94" s="38" t="s">
        <v>543</v>
      </c>
      <c r="AD94">
        <f t="shared" si="9"/>
        <v>9.5844896059988756</v>
      </c>
    </row>
    <row r="95" spans="2:30" x14ac:dyDescent="0.3">
      <c r="B95" s="38" t="s">
        <v>144</v>
      </c>
      <c r="C95">
        <f t="shared" si="8"/>
        <v>8.956463108076024</v>
      </c>
      <c r="AC95" s="38" t="s">
        <v>544</v>
      </c>
      <c r="AD95">
        <f t="shared" si="9"/>
        <v>8.6224563927918787</v>
      </c>
    </row>
    <row r="96" spans="2:30" x14ac:dyDescent="0.3">
      <c r="B96" s="38" t="s">
        <v>145</v>
      </c>
      <c r="C96">
        <f t="shared" si="8"/>
        <v>7.8770103211248212</v>
      </c>
      <c r="AC96" s="38" t="s">
        <v>545</v>
      </c>
      <c r="AD96">
        <f t="shared" si="9"/>
        <v>7.5349156905694947</v>
      </c>
    </row>
    <row r="97" spans="2:30" x14ac:dyDescent="0.3">
      <c r="B97" s="38" t="s">
        <v>146</v>
      </c>
      <c r="C97">
        <f t="shared" si="8"/>
        <v>6.7014433107416389</v>
      </c>
      <c r="AC97" s="38" t="s">
        <v>546</v>
      </c>
      <c r="AD97">
        <f t="shared" si="9"/>
        <v>6.3603089316258803</v>
      </c>
    </row>
    <row r="98" spans="2:30" x14ac:dyDescent="0.3">
      <c r="B98" s="38" t="s">
        <v>147</v>
      </c>
      <c r="C98">
        <f t="shared" si="8"/>
        <v>5.4756477020146912</v>
      </c>
      <c r="AC98" s="38" t="s">
        <v>547</v>
      </c>
      <c r="AD98">
        <f t="shared" si="9"/>
        <v>5.1481980190935124</v>
      </c>
    </row>
    <row r="99" spans="2:30" x14ac:dyDescent="0.3">
      <c r="B99" s="38" t="s">
        <v>148</v>
      </c>
      <c r="C99">
        <f t="shared" si="8"/>
        <v>3.7291455158394733</v>
      </c>
      <c r="AC99" s="38" t="s">
        <v>548</v>
      </c>
      <c r="AD99">
        <f t="shared" si="9"/>
        <v>3.4416875561862099</v>
      </c>
    </row>
    <row r="100" spans="2:30" x14ac:dyDescent="0.3">
      <c r="B100" s="38" t="s">
        <v>149</v>
      </c>
      <c r="C100">
        <f t="shared" ref="C100:C115" si="10">I4*(1+disc)^-6</f>
        <v>14.295931537552606</v>
      </c>
      <c r="AC100" s="38" t="s">
        <v>549</v>
      </c>
      <c r="AD100">
        <f t="shared" ref="AD100:AD115" si="11">AJ4*(1+disc)^-6</f>
        <v>14.210186093755373</v>
      </c>
    </row>
    <row r="101" spans="2:30" x14ac:dyDescent="0.3">
      <c r="B101" s="38" t="s">
        <v>150</v>
      </c>
      <c r="C101">
        <f t="shared" si="10"/>
        <v>14.116820500278177</v>
      </c>
      <c r="AC101" s="38" t="s">
        <v>550</v>
      </c>
      <c r="AD101">
        <f t="shared" si="11"/>
        <v>14.020363321733919</v>
      </c>
    </row>
    <row r="102" spans="2:30" x14ac:dyDescent="0.3">
      <c r="B102" s="38" t="s">
        <v>151</v>
      </c>
      <c r="C102">
        <f t="shared" si="10"/>
        <v>13.838799639100076</v>
      </c>
      <c r="AC102" s="38" t="s">
        <v>551</v>
      </c>
      <c r="AD102">
        <f t="shared" si="11"/>
        <v>13.722024267169708</v>
      </c>
    </row>
    <row r="103" spans="2:30" x14ac:dyDescent="0.3">
      <c r="B103" s="38" t="s">
        <v>152</v>
      </c>
      <c r="C103">
        <f t="shared" si="10"/>
        <v>13.488604856972252</v>
      </c>
      <c r="AC103" s="38" t="s">
        <v>552</v>
      </c>
      <c r="AD103">
        <f t="shared" si="11"/>
        <v>13.346385046426393</v>
      </c>
    </row>
    <row r="104" spans="2:30" x14ac:dyDescent="0.3">
      <c r="B104" s="38" t="s">
        <v>153</v>
      </c>
      <c r="C104">
        <f t="shared" si="10"/>
        <v>13.078111709730942</v>
      </c>
      <c r="AC104" s="38" t="s">
        <v>553</v>
      </c>
      <c r="AD104">
        <f t="shared" si="11"/>
        <v>12.907892529630761</v>
      </c>
    </row>
    <row r="105" spans="2:30" x14ac:dyDescent="0.3">
      <c r="B105" s="38" t="s">
        <v>154</v>
      </c>
      <c r="C105">
        <f t="shared" si="10"/>
        <v>12.613250012411008</v>
      </c>
      <c r="AC105" s="38" t="s">
        <v>554</v>
      </c>
      <c r="AD105">
        <f t="shared" si="11"/>
        <v>12.414333541874122</v>
      </c>
    </row>
    <row r="106" spans="2:30" x14ac:dyDescent="0.3">
      <c r="B106" s="38" t="s">
        <v>155</v>
      </c>
      <c r="C106">
        <f t="shared" si="10"/>
        <v>12.097468960358508</v>
      </c>
      <c r="AC106" s="38" t="s">
        <v>555</v>
      </c>
      <c r="AD106">
        <f t="shared" si="11"/>
        <v>11.870799368139179</v>
      </c>
    </row>
    <row r="107" spans="2:30" x14ac:dyDescent="0.3">
      <c r="B107" s="38" t="s">
        <v>156</v>
      </c>
      <c r="C107">
        <f t="shared" si="10"/>
        <v>11.538036232591841</v>
      </c>
      <c r="AC107" s="38" t="s">
        <v>556</v>
      </c>
      <c r="AD107">
        <f t="shared" si="11"/>
        <v>11.286765230706735</v>
      </c>
    </row>
    <row r="108" spans="2:30" x14ac:dyDescent="0.3">
      <c r="B108" s="38" t="s">
        <v>157</v>
      </c>
      <c r="C108">
        <f t="shared" si="10"/>
        <v>10.93125298227706</v>
      </c>
      <c r="AC108" s="38" t="s">
        <v>557</v>
      </c>
      <c r="AD108">
        <f t="shared" si="11"/>
        <v>10.659757314975709</v>
      </c>
    </row>
    <row r="109" spans="2:30" x14ac:dyDescent="0.3">
      <c r="B109" s="38" t="s">
        <v>158</v>
      </c>
      <c r="C109">
        <f t="shared" si="10"/>
        <v>10.239827727064247</v>
      </c>
      <c r="AC109" s="38" t="s">
        <v>558</v>
      </c>
      <c r="AD109">
        <f t="shared" si="11"/>
        <v>9.9501345705515973</v>
      </c>
    </row>
    <row r="110" spans="2:30" x14ac:dyDescent="0.3">
      <c r="B110" s="38" t="s">
        <v>159</v>
      </c>
      <c r="C110">
        <f t="shared" si="10"/>
        <v>9.450176226389976</v>
      </c>
      <c r="AC110" s="38" t="s">
        <v>559</v>
      </c>
      <c r="AD110">
        <f t="shared" si="11"/>
        <v>9.1450181685099512</v>
      </c>
    </row>
    <row r="111" spans="2:30" x14ac:dyDescent="0.3">
      <c r="B111" s="38" t="s">
        <v>160</v>
      </c>
      <c r="C111">
        <f t="shared" si="10"/>
        <v>8.5438465319344452</v>
      </c>
      <c r="AC111" s="38" t="s">
        <v>560</v>
      </c>
      <c r="AD111">
        <f t="shared" si="11"/>
        <v>8.2263328552358583</v>
      </c>
    </row>
    <row r="112" spans="2:30" x14ac:dyDescent="0.3">
      <c r="B112" s="38" t="s">
        <v>161</v>
      </c>
      <c r="C112">
        <f t="shared" si="10"/>
        <v>7.5140542094303324</v>
      </c>
      <c r="AC112" s="38" t="s">
        <v>561</v>
      </c>
      <c r="AD112">
        <f t="shared" si="11"/>
        <v>7.1885736948936643</v>
      </c>
    </row>
    <row r="113" spans="2:30" x14ac:dyDescent="0.3">
      <c r="B113" s="38" t="s">
        <v>162</v>
      </c>
      <c r="C113">
        <f t="shared" si="10"/>
        <v>6.3929762021290699</v>
      </c>
      <c r="AC113" s="38" t="s">
        <v>562</v>
      </c>
      <c r="AD113">
        <f t="shared" si="11"/>
        <v>6.068184837853301</v>
      </c>
    </row>
    <row r="114" spans="2:30" x14ac:dyDescent="0.3">
      <c r="B114" s="38" t="s">
        <v>163</v>
      </c>
      <c r="C114">
        <f t="shared" si="10"/>
        <v>5.2243066784170029</v>
      </c>
      <c r="AC114" s="38" t="s">
        <v>563</v>
      </c>
      <c r="AD114">
        <f t="shared" si="11"/>
        <v>4.9123658135608457</v>
      </c>
    </row>
    <row r="115" spans="2:30" x14ac:dyDescent="0.3">
      <c r="B115" s="38" t="s">
        <v>164</v>
      </c>
      <c r="C115">
        <f t="shared" si="10"/>
        <v>3.5594624146770553</v>
      </c>
      <c r="AC115" s="38" t="s">
        <v>564</v>
      </c>
      <c r="AD115">
        <f t="shared" si="11"/>
        <v>3.2854127697639468</v>
      </c>
    </row>
    <row r="116" spans="2:30" x14ac:dyDescent="0.3">
      <c r="B116" s="38" t="s">
        <v>165</v>
      </c>
      <c r="C116">
        <f t="shared" ref="C116:C131" si="12">J4*(1+disc)^-7</f>
        <v>13.625792016944759</v>
      </c>
      <c r="AC116" s="38" t="s">
        <v>565</v>
      </c>
      <c r="AD116">
        <f t="shared" ref="AD116:AD131" si="13">AK4*(1+disc)^-7</f>
        <v>13.545248019426623</v>
      </c>
    </row>
    <row r="117" spans="2:30" x14ac:dyDescent="0.3">
      <c r="B117" s="38" t="s">
        <v>166</v>
      </c>
      <c r="C117">
        <f t="shared" si="12"/>
        <v>13.456195871756275</v>
      </c>
      <c r="AC117" s="38" t="s">
        <v>566</v>
      </c>
      <c r="AD117">
        <f t="shared" si="13"/>
        <v>13.365508994299699</v>
      </c>
    </row>
    <row r="118" spans="2:30" x14ac:dyDescent="0.3">
      <c r="B118" s="38" t="s">
        <v>167</v>
      </c>
      <c r="C118">
        <f t="shared" si="12"/>
        <v>13.193634254283495</v>
      </c>
      <c r="AC118" s="38" t="s">
        <v>567</v>
      </c>
      <c r="AD118">
        <f t="shared" si="13"/>
        <v>13.083797442352395</v>
      </c>
    </row>
    <row r="119" spans="2:30" x14ac:dyDescent="0.3">
      <c r="B119" s="38" t="s">
        <v>168</v>
      </c>
      <c r="C119">
        <f t="shared" si="12"/>
        <v>12.862884903294102</v>
      </c>
      <c r="AC119" s="38" t="s">
        <v>568</v>
      </c>
      <c r="AD119">
        <f t="shared" si="13"/>
        <v>12.729067442392207</v>
      </c>
    </row>
    <row r="120" spans="2:30" x14ac:dyDescent="0.3">
      <c r="B120" s="38" t="s">
        <v>169</v>
      </c>
      <c r="C120">
        <f t="shared" si="12"/>
        <v>12.474723994730828</v>
      </c>
      <c r="AC120" s="38" t="s">
        <v>569</v>
      </c>
      <c r="AD120">
        <f t="shared" si="13"/>
        <v>12.314477806490665</v>
      </c>
    </row>
    <row r="121" spans="2:30" x14ac:dyDescent="0.3">
      <c r="B121" s="38" t="s">
        <v>170</v>
      </c>
      <c r="C121">
        <f t="shared" si="12"/>
        <v>12.034145295125981</v>
      </c>
      <c r="AC121" s="38" t="s">
        <v>570</v>
      </c>
      <c r="AD121">
        <f t="shared" si="13"/>
        <v>11.84671647595688</v>
      </c>
    </row>
    <row r="122" spans="2:30" x14ac:dyDescent="0.3">
      <c r="B122" s="38" t="s">
        <v>171</v>
      </c>
      <c r="C122">
        <f t="shared" si="12"/>
        <v>11.543874826659401</v>
      </c>
      <c r="AC122" s="38" t="s">
        <v>571</v>
      </c>
      <c r="AD122">
        <f t="shared" si="13"/>
        <v>11.330017019086728</v>
      </c>
    </row>
    <row r="123" spans="2:30" x14ac:dyDescent="0.3">
      <c r="B123" s="38" t="s">
        <v>172</v>
      </c>
      <c r="C123">
        <f t="shared" si="12"/>
        <v>11.010539625872434</v>
      </c>
      <c r="AC123" s="38" t="s">
        <v>572</v>
      </c>
      <c r="AD123">
        <f t="shared" si="13"/>
        <v>10.773089583680225</v>
      </c>
    </row>
    <row r="124" spans="2:30" x14ac:dyDescent="0.3">
      <c r="B124" s="38" t="s">
        <v>173</v>
      </c>
      <c r="C124">
        <f t="shared" si="12"/>
        <v>10.430727262020099</v>
      </c>
      <c r="AC124" s="38" t="s">
        <v>573</v>
      </c>
      <c r="AD124">
        <f t="shared" si="13"/>
        <v>10.173708054980132</v>
      </c>
    </row>
    <row r="125" spans="2:30" x14ac:dyDescent="0.3">
      <c r="B125" s="38" t="s">
        <v>174</v>
      </c>
      <c r="C125">
        <f t="shared" si="12"/>
        <v>9.7698918522029849</v>
      </c>
      <c r="AC125" s="38" t="s">
        <v>574</v>
      </c>
      <c r="AD125">
        <f t="shared" si="13"/>
        <v>9.4951973796016702</v>
      </c>
    </row>
    <row r="126" spans="2:30" x14ac:dyDescent="0.3">
      <c r="B126" s="38" t="s">
        <v>175</v>
      </c>
      <c r="C126">
        <f t="shared" si="12"/>
        <v>9.0154854549806416</v>
      </c>
      <c r="AC126" s="38" t="s">
        <v>575</v>
      </c>
      <c r="AD126">
        <f t="shared" si="13"/>
        <v>8.7257238484839252</v>
      </c>
    </row>
    <row r="127" spans="2:30" x14ac:dyDescent="0.3">
      <c r="B127" s="38" t="s">
        <v>176</v>
      </c>
      <c r="C127">
        <f t="shared" si="12"/>
        <v>8.1502614916132483</v>
      </c>
      <c r="AC127" s="38" t="s">
        <v>576</v>
      </c>
      <c r="AD127">
        <f t="shared" si="13"/>
        <v>7.848431693465173</v>
      </c>
    </row>
    <row r="128" spans="2:30" x14ac:dyDescent="0.3">
      <c r="B128" s="38" t="s">
        <v>177</v>
      </c>
      <c r="C128">
        <f t="shared" si="12"/>
        <v>7.1678439297978498</v>
      </c>
      <c r="AC128" s="38" t="s">
        <v>577</v>
      </c>
      <c r="AD128">
        <f t="shared" si="13"/>
        <v>6.8581736988625481</v>
      </c>
    </row>
    <row r="129" spans="2:30" x14ac:dyDescent="0.3">
      <c r="B129" s="38" t="s">
        <v>178</v>
      </c>
      <c r="C129">
        <f t="shared" si="12"/>
        <v>6.0987286497206279</v>
      </c>
      <c r="AC129" s="38" t="s">
        <v>578</v>
      </c>
      <c r="AD129">
        <f t="shared" si="13"/>
        <v>5.7894989127340226</v>
      </c>
    </row>
    <row r="130" spans="2:30" x14ac:dyDescent="0.3">
      <c r="B130" s="38" t="s">
        <v>179</v>
      </c>
      <c r="C130">
        <f t="shared" si="12"/>
        <v>4.9845227845124089</v>
      </c>
      <c r="AC130" s="38" t="s">
        <v>579</v>
      </c>
      <c r="AD130">
        <f t="shared" si="13"/>
        <v>4.6873567906046558</v>
      </c>
    </row>
    <row r="131" spans="2:30" x14ac:dyDescent="0.3">
      <c r="B131" s="38" t="s">
        <v>180</v>
      </c>
      <c r="C131">
        <f t="shared" si="12"/>
        <v>3.3975188449120548</v>
      </c>
      <c r="AC131" s="38" t="s">
        <v>580</v>
      </c>
      <c r="AD131">
        <f t="shared" si="13"/>
        <v>3.1362518282506233</v>
      </c>
    </row>
    <row r="132" spans="2:30" x14ac:dyDescent="0.3">
      <c r="B132" s="38" t="s">
        <v>181</v>
      </c>
      <c r="C132">
        <f t="shared" ref="C132:C147" si="14">K4*(1+disc)^-8</f>
        <v>12.987089401891254</v>
      </c>
      <c r="AC132" s="38" t="s">
        <v>581</v>
      </c>
      <c r="AD132">
        <f t="shared" ref="AD132:AD147" si="15">AL4*(1+disc)^-8</f>
        <v>12.911452616753856</v>
      </c>
    </row>
    <row r="133" spans="2:30" x14ac:dyDescent="0.3">
      <c r="B133" s="38" t="s">
        <v>182</v>
      </c>
      <c r="C133">
        <f t="shared" si="14"/>
        <v>12.826513921698096</v>
      </c>
      <c r="AC133" s="38" t="s">
        <v>582</v>
      </c>
      <c r="AD133">
        <f t="shared" si="15"/>
        <v>12.741274382389641</v>
      </c>
    </row>
    <row r="134" spans="2:30" x14ac:dyDescent="0.3">
      <c r="B134" s="38" t="s">
        <v>183</v>
      </c>
      <c r="C134">
        <f t="shared" si="14"/>
        <v>12.578578189457058</v>
      </c>
      <c r="AC134" s="38" t="s">
        <v>583</v>
      </c>
      <c r="AD134">
        <f t="shared" si="15"/>
        <v>12.475293542844542</v>
      </c>
    </row>
    <row r="135" spans="2:30" x14ac:dyDescent="0.3">
      <c r="B135" s="38" t="s">
        <v>184</v>
      </c>
      <c r="C135">
        <f t="shared" si="14"/>
        <v>12.266226701950417</v>
      </c>
      <c r="AC135" s="38" t="s">
        <v>584</v>
      </c>
      <c r="AD135">
        <f t="shared" si="15"/>
        <v>12.140345590602296</v>
      </c>
    </row>
    <row r="136" spans="2:30" x14ac:dyDescent="0.3">
      <c r="B136" s="38" t="s">
        <v>185</v>
      </c>
      <c r="C136">
        <f t="shared" si="14"/>
        <v>11.899212561501107</v>
      </c>
      <c r="AC136" s="38" t="s">
        <v>585</v>
      </c>
      <c r="AD136">
        <f t="shared" si="15"/>
        <v>11.748389352140695</v>
      </c>
    </row>
    <row r="137" spans="2:30" x14ac:dyDescent="0.3">
      <c r="B137" s="38" t="s">
        <v>186</v>
      </c>
      <c r="C137">
        <f t="shared" si="14"/>
        <v>11.481666468873541</v>
      </c>
      <c r="AC137" s="38" t="s">
        <v>586</v>
      </c>
      <c r="AD137">
        <f t="shared" si="15"/>
        <v>11.30509750041813</v>
      </c>
    </row>
    <row r="138" spans="2:30" x14ac:dyDescent="0.3">
      <c r="B138" s="38" t="s">
        <v>187</v>
      </c>
      <c r="C138">
        <f t="shared" si="14"/>
        <v>11.015649528477388</v>
      </c>
      <c r="AC138" s="38" t="s">
        <v>587</v>
      </c>
      <c r="AD138">
        <f t="shared" si="15"/>
        <v>10.813912584727735</v>
      </c>
    </row>
    <row r="139" spans="2:30" x14ac:dyDescent="0.3">
      <c r="B139" s="38" t="s">
        <v>188</v>
      </c>
      <c r="C139">
        <f t="shared" si="14"/>
        <v>10.507191221554063</v>
      </c>
      <c r="AC139" s="38" t="s">
        <v>588</v>
      </c>
      <c r="AD139">
        <f t="shared" si="15"/>
        <v>10.282829335595396</v>
      </c>
    </row>
    <row r="140" spans="2:30" x14ac:dyDescent="0.3">
      <c r="B140" s="38" t="s">
        <v>189</v>
      </c>
      <c r="C140">
        <f t="shared" si="14"/>
        <v>9.9531482792171886</v>
      </c>
      <c r="AC140" s="38" t="s">
        <v>589</v>
      </c>
      <c r="AD140">
        <f t="shared" si="15"/>
        <v>9.7098534658764599</v>
      </c>
    </row>
    <row r="141" spans="2:30" x14ac:dyDescent="0.3">
      <c r="B141" s="38" t="s">
        <v>190</v>
      </c>
      <c r="C141">
        <f t="shared" si="14"/>
        <v>9.3215480622436147</v>
      </c>
      <c r="AC141" s="38" t="s">
        <v>590</v>
      </c>
      <c r="AD141">
        <f t="shared" si="15"/>
        <v>9.0610890004812408</v>
      </c>
    </row>
    <row r="142" spans="2:30" x14ac:dyDescent="0.3">
      <c r="B142" s="38" t="s">
        <v>191</v>
      </c>
      <c r="C142">
        <f t="shared" si="14"/>
        <v>8.6008127950234741</v>
      </c>
      <c r="AC142" s="38" t="s">
        <v>591</v>
      </c>
      <c r="AD142">
        <f t="shared" si="15"/>
        <v>8.3256791762811151</v>
      </c>
    </row>
    <row r="143" spans="2:30" x14ac:dyDescent="0.3">
      <c r="B143" s="38" t="s">
        <v>192</v>
      </c>
      <c r="C143">
        <f t="shared" si="14"/>
        <v>7.7748292410062758</v>
      </c>
      <c r="AC143" s="38" t="s">
        <v>592</v>
      </c>
      <c r="AD143">
        <f t="shared" si="15"/>
        <v>7.4879136527059442</v>
      </c>
    </row>
    <row r="144" spans="2:30" x14ac:dyDescent="0.3">
      <c r="B144" s="38" t="s">
        <v>193</v>
      </c>
      <c r="C144">
        <f t="shared" si="14"/>
        <v>6.8376059908283615</v>
      </c>
      <c r="AC144" s="38" t="s">
        <v>593</v>
      </c>
      <c r="AD144">
        <f t="shared" si="15"/>
        <v>6.5429809820554539</v>
      </c>
    </row>
    <row r="145" spans="2:30" x14ac:dyDescent="0.3">
      <c r="B145" s="38" t="s">
        <v>194</v>
      </c>
      <c r="C145">
        <f t="shared" si="14"/>
        <v>5.8180443231850889</v>
      </c>
      <c r="AC145" s="38" t="s">
        <v>594</v>
      </c>
      <c r="AD145">
        <f t="shared" si="15"/>
        <v>5.5236321239483948</v>
      </c>
    </row>
    <row r="146" spans="2:30" x14ac:dyDescent="0.3">
      <c r="B146" s="38" t="s">
        <v>195</v>
      </c>
      <c r="C146">
        <f t="shared" si="14"/>
        <v>4.755763792448926</v>
      </c>
      <c r="AC146" s="38" t="s">
        <v>595</v>
      </c>
      <c r="AD146">
        <f t="shared" si="15"/>
        <v>4.4726734345813961</v>
      </c>
    </row>
    <row r="147" spans="2:30" x14ac:dyDescent="0.3">
      <c r="B147" s="38" t="s">
        <v>196</v>
      </c>
      <c r="C147">
        <f t="shared" si="14"/>
        <v>3.2429610583825275</v>
      </c>
      <c r="AC147" s="38" t="s">
        <v>596</v>
      </c>
      <c r="AD147">
        <f t="shared" si="15"/>
        <v>2.9938801944246696</v>
      </c>
    </row>
    <row r="148" spans="2:30" x14ac:dyDescent="0.3">
      <c r="B148" s="38" t="s">
        <v>197</v>
      </c>
      <c r="C148">
        <f t="shared" ref="C148:C163" si="16">L4*(1+disc)^-9</f>
        <v>12.376981618273941</v>
      </c>
      <c r="AC148" s="38" t="s">
        <v>597</v>
      </c>
      <c r="AD148">
        <f t="shared" ref="AD148:AD163" si="17">AM4*(1+disc)^-9</f>
        <v>12.305819753629493</v>
      </c>
    </row>
    <row r="149" spans="2:30" x14ac:dyDescent="0.3">
      <c r="B149" s="38" t="s">
        <v>198</v>
      </c>
      <c r="C149">
        <f t="shared" si="16"/>
        <v>12.224772827274311</v>
      </c>
      <c r="AC149" s="38" t="s">
        <v>598</v>
      </c>
      <c r="AD149">
        <f t="shared" si="17"/>
        <v>12.144502887483032</v>
      </c>
    </row>
    <row r="150" spans="2:30" x14ac:dyDescent="0.3">
      <c r="B150" s="38" t="s">
        <v>199</v>
      </c>
      <c r="C150">
        <f t="shared" si="16"/>
        <v>11.990389006084239</v>
      </c>
      <c r="AC150" s="38" t="s">
        <v>599</v>
      </c>
      <c r="AD150">
        <f t="shared" si="17"/>
        <v>11.893089387175552</v>
      </c>
    </row>
    <row r="151" spans="2:30" x14ac:dyDescent="0.3">
      <c r="B151" s="38" t="s">
        <v>200</v>
      </c>
      <c r="C151">
        <f t="shared" si="16"/>
        <v>11.69510544173022</v>
      </c>
      <c r="AC151" s="38" t="s">
        <v>600</v>
      </c>
      <c r="AD151">
        <f t="shared" si="17"/>
        <v>11.576483461606445</v>
      </c>
    </row>
    <row r="152" spans="2:30" x14ac:dyDescent="0.3">
      <c r="B152" s="38" t="s">
        <v>201</v>
      </c>
      <c r="C152">
        <f t="shared" si="16"/>
        <v>11.34781723119813</v>
      </c>
      <c r="AC152" s="38" t="s">
        <v>601</v>
      </c>
      <c r="AD152">
        <f t="shared" si="17"/>
        <v>11.205631453415785</v>
      </c>
    </row>
    <row r="153" spans="2:30" x14ac:dyDescent="0.3">
      <c r="B153" s="38" t="s">
        <v>202</v>
      </c>
      <c r="C153">
        <f t="shared" si="16"/>
        <v>10.951967447333441</v>
      </c>
      <c r="AC153" s="38" t="s">
        <v>602</v>
      </c>
      <c r="AD153">
        <f t="shared" si="17"/>
        <v>10.785388260974511</v>
      </c>
    </row>
    <row r="154" spans="2:30" x14ac:dyDescent="0.3">
      <c r="B154" s="38" t="s">
        <v>203</v>
      </c>
      <c r="C154">
        <f t="shared" si="16"/>
        <v>10.509088970169222</v>
      </c>
      <c r="AC154" s="38" t="s">
        <v>603</v>
      </c>
      <c r="AD154">
        <f t="shared" si="17"/>
        <v>10.31855819920052</v>
      </c>
    </row>
    <row r="155" spans="2:30" x14ac:dyDescent="0.3">
      <c r="B155" s="38" t="s">
        <v>204</v>
      </c>
      <c r="C155">
        <f t="shared" si="16"/>
        <v>10.024663621798993</v>
      </c>
      <c r="AC155" s="38" t="s">
        <v>604</v>
      </c>
      <c r="AD155">
        <f t="shared" si="17"/>
        <v>9.8124756158745878</v>
      </c>
    </row>
    <row r="156" spans="2:30" x14ac:dyDescent="0.3">
      <c r="B156" s="38" t="s">
        <v>205</v>
      </c>
      <c r="C156">
        <f t="shared" si="16"/>
        <v>9.4957277018533688</v>
      </c>
      <c r="AC156" s="38" t="s">
        <v>605</v>
      </c>
      <c r="AD156">
        <f t="shared" si="17"/>
        <v>9.2652805367438482</v>
      </c>
    </row>
    <row r="157" spans="2:30" x14ac:dyDescent="0.3">
      <c r="B157" s="38" t="s">
        <v>206</v>
      </c>
      <c r="C157">
        <f t="shared" si="16"/>
        <v>8.8925309481604398</v>
      </c>
      <c r="AC157" s="38" t="s">
        <v>606</v>
      </c>
      <c r="AD157">
        <f t="shared" si="17"/>
        <v>8.6454704730341003</v>
      </c>
    </row>
    <row r="158" spans="2:30" x14ac:dyDescent="0.3">
      <c r="B158" s="38" t="s">
        <v>207</v>
      </c>
      <c r="C158">
        <f t="shared" si="16"/>
        <v>8.2043203670154004</v>
      </c>
      <c r="AC158" s="38" t="s">
        <v>607</v>
      </c>
      <c r="AD158">
        <f t="shared" si="17"/>
        <v>7.9430096958852614</v>
      </c>
    </row>
    <row r="159" spans="2:30" x14ac:dyDescent="0.3">
      <c r="B159" s="38" t="s">
        <v>208</v>
      </c>
      <c r="C159">
        <f t="shared" si="16"/>
        <v>7.4160831749442364</v>
      </c>
      <c r="AC159" s="38" t="s">
        <v>608</v>
      </c>
      <c r="AD159">
        <f t="shared" si="17"/>
        <v>7.1433025220768069</v>
      </c>
    </row>
    <row r="160" spans="2:30" x14ac:dyDescent="0.3">
      <c r="B160" s="38" t="s">
        <v>209</v>
      </c>
      <c r="C160">
        <f t="shared" si="16"/>
        <v>6.5222653553190515</v>
      </c>
      <c r="AC160" s="38" t="s">
        <v>609</v>
      </c>
      <c r="AD160">
        <f t="shared" si="17"/>
        <v>6.2419366662483364</v>
      </c>
    </row>
    <row r="161" spans="2:30" x14ac:dyDescent="0.3">
      <c r="B161" s="38" t="s">
        <v>210</v>
      </c>
      <c r="C161">
        <f t="shared" si="16"/>
        <v>5.5500986803719634</v>
      </c>
      <c r="AC161" s="38" t="s">
        <v>610</v>
      </c>
      <c r="AD161">
        <f t="shared" si="17"/>
        <v>5.2697866217640525</v>
      </c>
    </row>
    <row r="162" spans="2:30" x14ac:dyDescent="0.3">
      <c r="B162" s="38" t="s">
        <v>211</v>
      </c>
      <c r="C162">
        <f t="shared" si="16"/>
        <v>4.5373090410129864</v>
      </c>
      <c r="AC162" s="38" t="s">
        <v>611</v>
      </c>
      <c r="AD162">
        <f t="shared" si="17"/>
        <v>4.2676142614772239</v>
      </c>
    </row>
    <row r="163" spans="2:30" x14ac:dyDescent="0.3">
      <c r="B163" s="38" t="s">
        <v>212</v>
      </c>
      <c r="C163">
        <f t="shared" si="16"/>
        <v>3.0954445647171118</v>
      </c>
      <c r="AC163" s="38" t="s">
        <v>612</v>
      </c>
      <c r="AD163">
        <f t="shared" si="17"/>
        <v>2.8579671883145004</v>
      </c>
    </row>
    <row r="164" spans="2:30" x14ac:dyDescent="0.3">
      <c r="B164" s="38" t="s">
        <v>213</v>
      </c>
      <c r="C164">
        <f t="shared" ref="C164:C179" si="18">M4*(1+disc)^-10</f>
        <v>11.795552008380938</v>
      </c>
      <c r="AC164" s="38" t="s">
        <v>613</v>
      </c>
      <c r="AD164">
        <f t="shared" ref="AD164:AD179" si="19">AN4*(1+disc)^-10</f>
        <v>11.728614987480563</v>
      </c>
    </row>
    <row r="165" spans="2:30" x14ac:dyDescent="0.3">
      <c r="B165" s="38" t="s">
        <v>214</v>
      </c>
      <c r="C165">
        <f t="shared" si="18"/>
        <v>11.651281279806154</v>
      </c>
      <c r="AC165" s="38" t="s">
        <v>614</v>
      </c>
      <c r="AD165">
        <f t="shared" si="19"/>
        <v>11.57570631082492</v>
      </c>
    </row>
    <row r="166" spans="2:30" x14ac:dyDescent="0.3">
      <c r="B166" s="38" t="s">
        <v>215</v>
      </c>
      <c r="C166">
        <f t="shared" si="18"/>
        <v>11.429726979622609</v>
      </c>
      <c r="AC166" s="38" t="s">
        <v>615</v>
      </c>
      <c r="AD166">
        <f t="shared" si="19"/>
        <v>11.338083186684482</v>
      </c>
    </row>
    <row r="167" spans="2:30" x14ac:dyDescent="0.3">
      <c r="B167" s="38" t="s">
        <v>216</v>
      </c>
      <c r="C167">
        <f t="shared" si="18"/>
        <v>11.150601475885031</v>
      </c>
      <c r="AC167" s="38" t="s">
        <v>616</v>
      </c>
      <c r="AD167">
        <f t="shared" si="19"/>
        <v>11.038840790308219</v>
      </c>
    </row>
    <row r="168" spans="2:30" x14ac:dyDescent="0.3">
      <c r="B168" s="38" t="s">
        <v>217</v>
      </c>
      <c r="C168">
        <f t="shared" si="18"/>
        <v>10.822000560937864</v>
      </c>
      <c r="AC168" s="38" t="s">
        <v>617</v>
      </c>
      <c r="AD168">
        <f t="shared" si="19"/>
        <v>10.687981160599334</v>
      </c>
    </row>
    <row r="169" spans="2:30" x14ac:dyDescent="0.3">
      <c r="B169" s="38" t="s">
        <v>218</v>
      </c>
      <c r="C169">
        <f t="shared" si="18"/>
        <v>10.446734051033269</v>
      </c>
      <c r="AC169" s="38" t="s">
        <v>618</v>
      </c>
      <c r="AD169">
        <f t="shared" si="19"/>
        <v>10.289604260324898</v>
      </c>
    </row>
    <row r="170" spans="2:30" x14ac:dyDescent="0.3">
      <c r="B170" s="38" t="s">
        <v>219</v>
      </c>
      <c r="C170">
        <f t="shared" si="18"/>
        <v>10.025850327491055</v>
      </c>
      <c r="AC170" s="38" t="s">
        <v>619</v>
      </c>
      <c r="AD170">
        <f t="shared" si="19"/>
        <v>9.8459267951236988</v>
      </c>
    </row>
    <row r="171" spans="2:30" x14ac:dyDescent="0.3">
      <c r="B171" s="38" t="s">
        <v>220</v>
      </c>
      <c r="C171">
        <f t="shared" si="18"/>
        <v>9.564320819620578</v>
      </c>
      <c r="AC171" s="38" t="s">
        <v>620</v>
      </c>
      <c r="AD171">
        <f t="shared" si="19"/>
        <v>9.3636660301784165</v>
      </c>
    </row>
    <row r="172" spans="2:30" x14ac:dyDescent="0.3">
      <c r="B172" s="38" t="s">
        <v>221</v>
      </c>
      <c r="C172">
        <f t="shared" si="18"/>
        <v>9.0593521719324137</v>
      </c>
      <c r="AC172" s="38" t="s">
        <v>621</v>
      </c>
      <c r="AD172">
        <f t="shared" si="19"/>
        <v>8.8410890219988243</v>
      </c>
    </row>
    <row r="173" spans="2:30" x14ac:dyDescent="0.3">
      <c r="B173" s="38" t="s">
        <v>222</v>
      </c>
      <c r="C173">
        <f t="shared" si="18"/>
        <v>8.4832802851322935</v>
      </c>
      <c r="AC173" s="38" t="s">
        <v>622</v>
      </c>
      <c r="AD173">
        <f t="shared" si="19"/>
        <v>8.2489393310146664</v>
      </c>
    </row>
    <row r="174" spans="2:30" x14ac:dyDescent="0.3">
      <c r="B174" s="38" t="s">
        <v>223</v>
      </c>
      <c r="C174">
        <f t="shared" si="18"/>
        <v>7.8261259018148239</v>
      </c>
      <c r="AC174" s="38" t="s">
        <v>623</v>
      </c>
      <c r="AD174">
        <f t="shared" si="19"/>
        <v>7.5779502299824877</v>
      </c>
    </row>
    <row r="175" spans="2:30" x14ac:dyDescent="0.3">
      <c r="B175" s="38" t="s">
        <v>224</v>
      </c>
      <c r="C175">
        <f t="shared" si="18"/>
        <v>7.0739094729856173</v>
      </c>
      <c r="AC175" s="38" t="s">
        <v>624</v>
      </c>
      <c r="AD175">
        <f t="shared" si="19"/>
        <v>6.8145714137561555</v>
      </c>
    </row>
    <row r="176" spans="2:30" x14ac:dyDescent="0.3">
      <c r="B176" s="38" t="s">
        <v>225</v>
      </c>
      <c r="C176">
        <f t="shared" si="18"/>
        <v>6.221486293012676</v>
      </c>
      <c r="AC176" s="38" t="s">
        <v>625</v>
      </c>
      <c r="AD176">
        <f t="shared" si="19"/>
        <v>5.9547626021107476</v>
      </c>
    </row>
    <row r="177" spans="2:30" x14ac:dyDescent="0.3">
      <c r="B177" s="38" t="s">
        <v>226</v>
      </c>
      <c r="C177">
        <f t="shared" si="18"/>
        <v>5.2945111084823608</v>
      </c>
      <c r="AC177" s="38" t="s">
        <v>626</v>
      </c>
      <c r="AD177">
        <f t="shared" si="19"/>
        <v>5.0276250833488945</v>
      </c>
    </row>
    <row r="178" spans="2:30" x14ac:dyDescent="0.3">
      <c r="B178" s="38" t="s">
        <v>227</v>
      </c>
      <c r="C178">
        <f t="shared" si="18"/>
        <v>4.3289067721199359</v>
      </c>
      <c r="AC178" s="38" t="s">
        <v>627</v>
      </c>
      <c r="AD178">
        <f t="shared" si="19"/>
        <v>4.0719740227289192</v>
      </c>
    </row>
    <row r="179" spans="2:30" x14ac:dyDescent="0.3">
      <c r="B179" s="38" t="s">
        <v>228</v>
      </c>
      <c r="C179">
        <f t="shared" si="18"/>
        <v>2.9546556124364347</v>
      </c>
      <c r="AC179" s="38" t="s">
        <v>628</v>
      </c>
      <c r="AD179">
        <f t="shared" si="19"/>
        <v>2.7282408520885126</v>
      </c>
    </row>
    <row r="180" spans="2:30" x14ac:dyDescent="0.3">
      <c r="B180" s="38" t="s">
        <v>229</v>
      </c>
      <c r="C180">
        <f t="shared" ref="C180:C195" si="20">N4*(1+disc)^-11</f>
        <v>11.241451843964541</v>
      </c>
      <c r="AC180" s="38" t="s">
        <v>629</v>
      </c>
      <c r="AD180">
        <f t="shared" ref="AD180:AD195" si="21">AO4*(1+disc)^-11</f>
        <v>11.178503072110685</v>
      </c>
    </row>
    <row r="181" spans="2:30" x14ac:dyDescent="0.3">
      <c r="B181" s="38" t="s">
        <v>230</v>
      </c>
      <c r="C181">
        <f t="shared" si="20"/>
        <v>11.104712226387516</v>
      </c>
      <c r="AC181" s="38" t="s">
        <v>630</v>
      </c>
      <c r="AD181">
        <f t="shared" si="21"/>
        <v>11.033572266372605</v>
      </c>
    </row>
    <row r="182" spans="2:30" x14ac:dyDescent="0.3">
      <c r="B182" s="38" t="s">
        <v>231</v>
      </c>
      <c r="C182">
        <f t="shared" si="20"/>
        <v>10.895302867013914</v>
      </c>
      <c r="AC182" s="38" t="s">
        <v>631</v>
      </c>
      <c r="AD182">
        <f t="shared" si="21"/>
        <v>10.809003210555641</v>
      </c>
    </row>
    <row r="183" spans="2:30" x14ac:dyDescent="0.3">
      <c r="B183" s="38" t="s">
        <v>232</v>
      </c>
      <c r="C183">
        <f t="shared" si="20"/>
        <v>10.631473196440977</v>
      </c>
      <c r="AC183" s="38" t="s">
        <v>632</v>
      </c>
      <c r="AD183">
        <f t="shared" si="21"/>
        <v>10.526197068655707</v>
      </c>
    </row>
    <row r="184" spans="2:30" x14ac:dyDescent="0.3">
      <c r="B184" s="38" t="s">
        <v>233</v>
      </c>
      <c r="C184">
        <f t="shared" si="20"/>
        <v>10.320574796763305</v>
      </c>
      <c r="AC184" s="38" t="s">
        <v>633</v>
      </c>
      <c r="AD184">
        <f t="shared" si="21"/>
        <v>10.194275606480582</v>
      </c>
    </row>
    <row r="185" spans="2:30" x14ac:dyDescent="0.3">
      <c r="B185" s="38" t="s">
        <v>234</v>
      </c>
      <c r="C185">
        <f t="shared" si="20"/>
        <v>9.9648350549095923</v>
      </c>
      <c r="AC185" s="38" t="s">
        <v>634</v>
      </c>
      <c r="AD185">
        <f t="shared" si="21"/>
        <v>9.8166426521115504</v>
      </c>
    </row>
    <row r="186" spans="2:30" x14ac:dyDescent="0.3">
      <c r="B186" s="38" t="s">
        <v>235</v>
      </c>
      <c r="C186">
        <f t="shared" si="20"/>
        <v>9.564858694225606</v>
      </c>
      <c r="AC186" s="38" t="s">
        <v>635</v>
      </c>
      <c r="AD186">
        <f t="shared" si="21"/>
        <v>9.3949746523672175</v>
      </c>
    </row>
    <row r="187" spans="2:30" x14ac:dyDescent="0.3">
      <c r="B187" s="38" t="s">
        <v>236</v>
      </c>
      <c r="C187">
        <f t="shared" si="20"/>
        <v>9.1251417633417802</v>
      </c>
      <c r="AC187" s="38" t="s">
        <v>636</v>
      </c>
      <c r="AD187">
        <f t="shared" si="21"/>
        <v>8.9354125269793165</v>
      </c>
    </row>
    <row r="188" spans="2:30" x14ac:dyDescent="0.3">
      <c r="B188" s="38" t="s">
        <v>237</v>
      </c>
      <c r="C188">
        <f t="shared" si="20"/>
        <v>8.6430524686994481</v>
      </c>
      <c r="AC188" s="38" t="s">
        <v>637</v>
      </c>
      <c r="AD188">
        <f t="shared" si="21"/>
        <v>8.4363434306785692</v>
      </c>
    </row>
    <row r="189" spans="2:30" x14ac:dyDescent="0.3">
      <c r="B189" s="38" t="s">
        <v>238</v>
      </c>
      <c r="C189">
        <f t="shared" si="20"/>
        <v>8.0928844675754412</v>
      </c>
      <c r="AC189" s="38" t="s">
        <v>638</v>
      </c>
      <c r="AD189">
        <f t="shared" si="21"/>
        <v>7.870617996120802</v>
      </c>
    </row>
    <row r="190" spans="2:30" x14ac:dyDescent="0.3">
      <c r="B190" s="38" t="s">
        <v>239</v>
      </c>
      <c r="C190">
        <f t="shared" si="20"/>
        <v>7.4653841303252939</v>
      </c>
      <c r="AC190" s="38" t="s">
        <v>639</v>
      </c>
      <c r="AD190">
        <f t="shared" si="21"/>
        <v>7.229689492525055</v>
      </c>
    </row>
    <row r="191" spans="2:30" x14ac:dyDescent="0.3">
      <c r="B191" s="38" t="s">
        <v>240</v>
      </c>
      <c r="C191">
        <f t="shared" si="20"/>
        <v>6.7475417842447181</v>
      </c>
      <c r="AC191" s="38" t="s">
        <v>640</v>
      </c>
      <c r="AD191">
        <f t="shared" si="21"/>
        <v>6.5009877290302605</v>
      </c>
    </row>
    <row r="192" spans="2:30" x14ac:dyDescent="0.3">
      <c r="B192" s="38" t="s">
        <v>241</v>
      </c>
      <c r="C192">
        <f t="shared" si="20"/>
        <v>5.9345956358978817</v>
      </c>
      <c r="AC192" s="38" t="s">
        <v>641</v>
      </c>
      <c r="AD192">
        <f t="shared" si="21"/>
        <v>5.6808189562745204</v>
      </c>
    </row>
    <row r="193" spans="2:30" x14ac:dyDescent="0.3">
      <c r="B193" s="38" t="s">
        <v>242</v>
      </c>
      <c r="C193">
        <f t="shared" si="20"/>
        <v>5.0507109077422303</v>
      </c>
      <c r="AC193" s="38" t="s">
        <v>642</v>
      </c>
      <c r="AD193">
        <f t="shared" si="21"/>
        <v>4.7966089902749998</v>
      </c>
    </row>
    <row r="194" spans="2:30" x14ac:dyDescent="0.3">
      <c r="B194" s="38" t="s">
        <v>243</v>
      </c>
      <c r="C194">
        <f t="shared" si="20"/>
        <v>4.130093698114818</v>
      </c>
      <c r="AC194" s="38" t="s">
        <v>643</v>
      </c>
      <c r="AD194">
        <f t="shared" si="21"/>
        <v>3.8853193834733744</v>
      </c>
    </row>
    <row r="195" spans="2:30" x14ac:dyDescent="0.3">
      <c r="B195" s="38" t="s">
        <v>244</v>
      </c>
      <c r="C195">
        <f t="shared" si="20"/>
        <v>2.8202867129000451</v>
      </c>
      <c r="AC195" s="38" t="s">
        <v>644</v>
      </c>
      <c r="AD195">
        <f t="shared" si="21"/>
        <v>2.6044189248608483</v>
      </c>
    </row>
    <row r="196" spans="2:30" x14ac:dyDescent="0.3">
      <c r="B196" s="38" t="s">
        <v>245</v>
      </c>
      <c r="C196">
        <f t="shared" ref="C196:C211" si="22">O4*(1+disc)^-12</f>
        <v>10.713395857687759</v>
      </c>
      <c r="AC196" s="38" t="s">
        <v>645</v>
      </c>
      <c r="AD196">
        <f t="shared" ref="AD196:AD211" si="23">AP4*(1+disc)^-12</f>
        <v>10.654211512992216</v>
      </c>
    </row>
    <row r="197" spans="2:30" x14ac:dyDescent="0.3">
      <c r="B197" s="38" t="s">
        <v>246</v>
      </c>
      <c r="C197">
        <f t="shared" si="22"/>
        <v>10.583800990116298</v>
      </c>
      <c r="AC197" s="38" t="s">
        <v>646</v>
      </c>
      <c r="AD197">
        <f t="shared" si="23"/>
        <v>10.516849978967</v>
      </c>
    </row>
    <row r="198" spans="2:30" x14ac:dyDescent="0.3">
      <c r="B198" s="38" t="s">
        <v>247</v>
      </c>
      <c r="C198">
        <f t="shared" si="22"/>
        <v>10.385887849498328</v>
      </c>
      <c r="AC198" s="38" t="s">
        <v>647</v>
      </c>
      <c r="AD198">
        <f t="shared" si="23"/>
        <v>10.304637241934739</v>
      </c>
    </row>
    <row r="199" spans="2:30" x14ac:dyDescent="0.3">
      <c r="B199" s="38" t="s">
        <v>248</v>
      </c>
      <c r="C199">
        <f t="shared" si="22"/>
        <v>10.136536959821152</v>
      </c>
      <c r="AC199" s="38" t="s">
        <v>648</v>
      </c>
      <c r="AD199">
        <f t="shared" si="23"/>
        <v>10.037388659057388</v>
      </c>
    </row>
    <row r="200" spans="2:30" x14ac:dyDescent="0.3">
      <c r="B200" s="38" t="s">
        <v>249</v>
      </c>
      <c r="C200">
        <f t="shared" si="22"/>
        <v>9.8424073896974438</v>
      </c>
      <c r="AC200" s="38" t="s">
        <v>649</v>
      </c>
      <c r="AD200">
        <f t="shared" si="23"/>
        <v>9.7234058427637127</v>
      </c>
    </row>
    <row r="201" spans="2:30" x14ac:dyDescent="0.3">
      <c r="B201" s="38" t="s">
        <v>250</v>
      </c>
      <c r="C201">
        <f t="shared" si="22"/>
        <v>9.5051915909666445</v>
      </c>
      <c r="AC201" s="38" t="s">
        <v>650</v>
      </c>
      <c r="AD201">
        <f t="shared" si="23"/>
        <v>9.3654514874706347</v>
      </c>
    </row>
    <row r="202" spans="2:30" x14ac:dyDescent="0.3">
      <c r="B202" s="38" t="s">
        <v>251</v>
      </c>
      <c r="C202">
        <f t="shared" si="22"/>
        <v>9.1250887569135966</v>
      </c>
      <c r="AC202" s="38" t="s">
        <v>651</v>
      </c>
      <c r="AD202">
        <f t="shared" si="23"/>
        <v>8.9647060498445423</v>
      </c>
    </row>
    <row r="203" spans="2:30" x14ac:dyDescent="0.3">
      <c r="B203" s="38" t="s">
        <v>252</v>
      </c>
      <c r="C203">
        <f t="shared" si="22"/>
        <v>8.7061524412054396</v>
      </c>
      <c r="AC203" s="38" t="s">
        <v>652</v>
      </c>
      <c r="AD203">
        <f t="shared" si="23"/>
        <v>8.5267724214718807</v>
      </c>
    </row>
    <row r="204" spans="2:30" x14ac:dyDescent="0.3">
      <c r="B204" s="38" t="s">
        <v>253</v>
      </c>
      <c r="C204">
        <f t="shared" si="22"/>
        <v>8.2459040501398881</v>
      </c>
      <c r="AC204" s="38" t="s">
        <v>653</v>
      </c>
      <c r="AD204">
        <f t="shared" si="23"/>
        <v>8.0501512571355764</v>
      </c>
    </row>
    <row r="205" spans="2:30" x14ac:dyDescent="0.3">
      <c r="B205" s="38" t="s">
        <v>254</v>
      </c>
      <c r="C205">
        <f t="shared" si="22"/>
        <v>7.7204739697690519</v>
      </c>
      <c r="AC205" s="38" t="s">
        <v>654</v>
      </c>
      <c r="AD205">
        <f t="shared" si="23"/>
        <v>7.50966927999412</v>
      </c>
    </row>
    <row r="206" spans="2:30" x14ac:dyDescent="0.3">
      <c r="B206" s="38" t="s">
        <v>255</v>
      </c>
      <c r="C206">
        <f t="shared" si="22"/>
        <v>7.1212888651190838</v>
      </c>
      <c r="AC206" s="38" t="s">
        <v>655</v>
      </c>
      <c r="AD206">
        <f t="shared" si="23"/>
        <v>6.8974536105809729</v>
      </c>
    </row>
    <row r="207" spans="2:30" x14ac:dyDescent="0.3">
      <c r="B207" s="38" t="s">
        <v>256</v>
      </c>
      <c r="C207">
        <f t="shared" si="22"/>
        <v>6.4362492287901976</v>
      </c>
      <c r="AC207" s="38" t="s">
        <v>656</v>
      </c>
      <c r="AD207">
        <f t="shared" si="23"/>
        <v>6.2018527011091562</v>
      </c>
    </row>
    <row r="208" spans="2:30" x14ac:dyDescent="0.3">
      <c r="B208" s="38" t="s">
        <v>257</v>
      </c>
      <c r="C208">
        <f t="shared" si="22"/>
        <v>5.6609513670814433</v>
      </c>
      <c r="AC208" s="38" t="s">
        <v>657</v>
      </c>
      <c r="AD208">
        <f t="shared" si="23"/>
        <v>5.4194954430016935</v>
      </c>
    </row>
    <row r="209" spans="2:30" x14ac:dyDescent="0.3">
      <c r="B209" s="38" t="s">
        <v>258</v>
      </c>
      <c r="C209">
        <f t="shared" si="22"/>
        <v>4.8181537631907636</v>
      </c>
      <c r="AC209" s="38" t="s">
        <v>658</v>
      </c>
      <c r="AD209">
        <f t="shared" si="23"/>
        <v>4.5762246745106179</v>
      </c>
    </row>
    <row r="210" spans="2:30" x14ac:dyDescent="0.3">
      <c r="B210" s="38" t="s">
        <v>259</v>
      </c>
      <c r="C210">
        <f t="shared" si="22"/>
        <v>3.9404279115348051</v>
      </c>
      <c r="AC210" s="38" t="s">
        <v>659</v>
      </c>
      <c r="AD210">
        <f t="shared" si="23"/>
        <v>3.7072369733601906</v>
      </c>
    </row>
    <row r="211" spans="2:30" x14ac:dyDescent="0.3">
      <c r="B211" s="38" t="s">
        <v>260</v>
      </c>
      <c r="C211">
        <f t="shared" si="22"/>
        <v>2.692044458461111</v>
      </c>
      <c r="AC211" s="38" t="s">
        <v>660</v>
      </c>
      <c r="AD211">
        <f t="shared" si="23"/>
        <v>2.4862320493294052</v>
      </c>
    </row>
    <row r="212" spans="2:30" x14ac:dyDescent="0.3">
      <c r="B212" s="38" t="s">
        <v>261</v>
      </c>
      <c r="C212">
        <f t="shared" ref="C212:C227" si="24">P4*(1+disc)^-13</f>
        <v>10.210159255814636</v>
      </c>
      <c r="AC212" s="38" t="s">
        <v>661</v>
      </c>
      <c r="AD212">
        <f t="shared" ref="AD212:AD227" si="25">AQ4*(1+disc)^-13</f>
        <v>10.154527616614912</v>
      </c>
    </row>
    <row r="213" spans="2:30" x14ac:dyDescent="0.3">
      <c r="B213" s="38" t="s">
        <v>262</v>
      </c>
      <c r="C213">
        <f t="shared" si="24"/>
        <v>10.08734233663705</v>
      </c>
      <c r="AC213" s="38" t="s">
        <v>662</v>
      </c>
      <c r="AD213">
        <f t="shared" si="25"/>
        <v>10.024347390116507</v>
      </c>
    </row>
    <row r="214" spans="2:30" x14ac:dyDescent="0.3">
      <c r="B214" s="38" t="s">
        <v>263</v>
      </c>
      <c r="C214">
        <f t="shared" si="24"/>
        <v>9.9003106988146623</v>
      </c>
      <c r="AC214" s="38" t="s">
        <v>663</v>
      </c>
      <c r="AD214">
        <f t="shared" si="25"/>
        <v>9.8238297906652949</v>
      </c>
    </row>
    <row r="215" spans="2:30" x14ac:dyDescent="0.3">
      <c r="B215" s="38" t="s">
        <v>264</v>
      </c>
      <c r="C215">
        <f t="shared" si="24"/>
        <v>9.6646643787181503</v>
      </c>
      <c r="AC215" s="38" t="s">
        <v>664</v>
      </c>
      <c r="AD215">
        <f t="shared" si="25"/>
        <v>9.5713061420408092</v>
      </c>
    </row>
    <row r="216" spans="2:30" x14ac:dyDescent="0.3">
      <c r="B216" s="38" t="s">
        <v>265</v>
      </c>
      <c r="C216">
        <f t="shared" si="24"/>
        <v>9.3864184276786649</v>
      </c>
      <c r="AC216" s="38" t="s">
        <v>665</v>
      </c>
      <c r="AD216">
        <f t="shared" si="25"/>
        <v>9.2743143373976267</v>
      </c>
    </row>
    <row r="217" spans="2:30" x14ac:dyDescent="0.3">
      <c r="B217" s="38" t="s">
        <v>266</v>
      </c>
      <c r="C217">
        <f t="shared" si="24"/>
        <v>9.0667747227427764</v>
      </c>
      <c r="AC217" s="38" t="s">
        <v>666</v>
      </c>
      <c r="AD217">
        <f t="shared" si="25"/>
        <v>8.9350273634231439</v>
      </c>
    </row>
    <row r="218" spans="2:30" x14ac:dyDescent="0.3">
      <c r="B218" s="38" t="s">
        <v>267</v>
      </c>
      <c r="C218">
        <f t="shared" si="24"/>
        <v>8.705562504621815</v>
      </c>
      <c r="AC218" s="38" t="s">
        <v>667</v>
      </c>
      <c r="AD218">
        <f t="shared" si="25"/>
        <v>8.5541710555934518</v>
      </c>
    </row>
    <row r="219" spans="2:30" x14ac:dyDescent="0.3">
      <c r="B219" s="38" t="s">
        <v>268</v>
      </c>
      <c r="C219">
        <f t="shared" si="24"/>
        <v>8.3064237122500462</v>
      </c>
      <c r="AC219" s="38" t="s">
        <v>668</v>
      </c>
      <c r="AD219">
        <f t="shared" si="25"/>
        <v>8.1368463102701138</v>
      </c>
    </row>
    <row r="220" spans="2:30" x14ac:dyDescent="0.3">
      <c r="B220" s="38" t="s">
        <v>269</v>
      </c>
      <c r="C220">
        <f t="shared" si="24"/>
        <v>7.8670249916062733</v>
      </c>
      <c r="AC220" s="38" t="s">
        <v>669</v>
      </c>
      <c r="AD220">
        <f t="shared" si="25"/>
        <v>7.6816610038718522</v>
      </c>
    </row>
    <row r="221" spans="2:30" x14ac:dyDescent="0.3">
      <c r="B221" s="38" t="s">
        <v>270</v>
      </c>
      <c r="C221">
        <f t="shared" si="24"/>
        <v>7.3652194018317685</v>
      </c>
      <c r="AC221" s="38" t="s">
        <v>670</v>
      </c>
      <c r="AD221">
        <f t="shared" si="25"/>
        <v>7.1652945235251302</v>
      </c>
    </row>
    <row r="222" spans="2:30" x14ac:dyDescent="0.3">
      <c r="B222" s="38" t="s">
        <v>271</v>
      </c>
      <c r="C222">
        <f t="shared" si="24"/>
        <v>6.7930711919921531</v>
      </c>
      <c r="AC222" s="38" t="s">
        <v>671</v>
      </c>
      <c r="AD222">
        <f t="shared" si="25"/>
        <v>6.5805043974072701</v>
      </c>
    </row>
    <row r="223" spans="2:30" x14ac:dyDescent="0.3">
      <c r="B223" s="38" t="s">
        <v>272</v>
      </c>
      <c r="C223">
        <f t="shared" si="24"/>
        <v>6.1393347544682024</v>
      </c>
      <c r="AC223" s="38" t="s">
        <v>672</v>
      </c>
      <c r="AD223">
        <f t="shared" si="25"/>
        <v>5.9164998312817376</v>
      </c>
    </row>
    <row r="224" spans="2:30" x14ac:dyDescent="0.3">
      <c r="B224" s="38" t="s">
        <v>273</v>
      </c>
      <c r="C224">
        <f t="shared" si="24"/>
        <v>5.3999411779525346</v>
      </c>
      <c r="AC224" s="38" t="s">
        <v>673</v>
      </c>
      <c r="AD224">
        <f t="shared" si="25"/>
        <v>5.1702099583225305</v>
      </c>
    </row>
    <row r="225" spans="2:30" x14ac:dyDescent="0.3">
      <c r="B225" s="38" t="s">
        <v>274</v>
      </c>
      <c r="C225">
        <f t="shared" si="24"/>
        <v>4.5963205236161588</v>
      </c>
      <c r="AC225" s="38" t="s">
        <v>674</v>
      </c>
      <c r="AD225">
        <f t="shared" si="25"/>
        <v>4.365982170439624</v>
      </c>
    </row>
    <row r="226" spans="2:30" x14ac:dyDescent="0.3">
      <c r="B226" s="38" t="s">
        <v>275</v>
      </c>
      <c r="C226">
        <f t="shared" si="24"/>
        <v>3.7594878972605925</v>
      </c>
      <c r="AC226" s="38" t="s">
        <v>675</v>
      </c>
      <c r="AD226">
        <f t="shared" si="25"/>
        <v>3.5373324655963643</v>
      </c>
    </row>
    <row r="227" spans="2:30" x14ac:dyDescent="0.3">
      <c r="B227" s="38" t="s">
        <v>276</v>
      </c>
      <c r="C227">
        <f t="shared" si="24"/>
        <v>2.5696488765605219</v>
      </c>
      <c r="AC227" s="38" t="s">
        <v>676</v>
      </c>
      <c r="AD227">
        <f t="shared" si="25"/>
        <v>2.3734231808515278</v>
      </c>
    </row>
    <row r="228" spans="2:30" x14ac:dyDescent="0.3">
      <c r="B228" s="38" t="s">
        <v>277</v>
      </c>
      <c r="C228">
        <f t="shared" ref="C228:C243" si="26">Q4*(1+disc)^-14</f>
        <v>9.7298103934496911</v>
      </c>
      <c r="AC228" s="38" t="s">
        <v>677</v>
      </c>
      <c r="AD228">
        <f t="shared" ref="AD228:AD243" si="27">AR4*(1+disc)^-14</f>
        <v>9.6774435192406756</v>
      </c>
    </row>
    <row r="229" spans="2:30" x14ac:dyDescent="0.3">
      <c r="B229" s="38" t="s">
        <v>278</v>
      </c>
      <c r="C229">
        <f t="shared" si="26"/>
        <v>9.6133253322306071</v>
      </c>
      <c r="AC229" s="38" t="s">
        <v>678</v>
      </c>
      <c r="AD229">
        <f t="shared" si="27"/>
        <v>9.5539686811495308</v>
      </c>
    </row>
    <row r="230" spans="2:30" x14ac:dyDescent="0.3">
      <c r="B230" s="38" t="s">
        <v>279</v>
      </c>
      <c r="C230">
        <f t="shared" si="26"/>
        <v>9.4364319947466804</v>
      </c>
      <c r="AC230" s="38" t="s">
        <v>679</v>
      </c>
      <c r="AD230">
        <f t="shared" si="27"/>
        <v>9.3643419701893436</v>
      </c>
    </row>
    <row r="231" spans="2:30" x14ac:dyDescent="0.3">
      <c r="B231" s="38" t="s">
        <v>280</v>
      </c>
      <c r="C231">
        <f t="shared" si="26"/>
        <v>9.2135635517537153</v>
      </c>
      <c r="AC231" s="38" t="s">
        <v>680</v>
      </c>
      <c r="AD231">
        <f t="shared" si="27"/>
        <v>9.1255407654164262</v>
      </c>
    </row>
    <row r="232" spans="2:30" x14ac:dyDescent="0.3">
      <c r="B232" s="38" t="s">
        <v>281</v>
      </c>
      <c r="C232">
        <f t="shared" si="26"/>
        <v>8.950188530146141</v>
      </c>
      <c r="AC232" s="38" t="s">
        <v>681</v>
      </c>
      <c r="AD232">
        <f t="shared" si="27"/>
        <v>8.8444505918892702</v>
      </c>
    </row>
    <row r="233" spans="2:30" x14ac:dyDescent="0.3">
      <c r="B233" s="38" t="s">
        <v>282</v>
      </c>
      <c r="C233">
        <f t="shared" si="26"/>
        <v>8.6471232230048027</v>
      </c>
      <c r="AC233" s="38" t="s">
        <v>682</v>
      </c>
      <c r="AD233">
        <f t="shared" si="27"/>
        <v>8.522773669183362</v>
      </c>
    </row>
    <row r="234" spans="2:30" x14ac:dyDescent="0.3">
      <c r="B234" s="38" t="s">
        <v>283</v>
      </c>
      <c r="C234">
        <f t="shared" si="26"/>
        <v>8.3039088559483183</v>
      </c>
      <c r="AC234" s="38" t="s">
        <v>683</v>
      </c>
      <c r="AD234">
        <f t="shared" si="27"/>
        <v>8.1608735540699655</v>
      </c>
    </row>
    <row r="235" spans="2:30" x14ac:dyDescent="0.3">
      <c r="B235" s="38" t="s">
        <v>284</v>
      </c>
      <c r="C235">
        <f t="shared" si="26"/>
        <v>7.9238218191987544</v>
      </c>
      <c r="AC235" s="38" t="s">
        <v>684</v>
      </c>
      <c r="AD235">
        <f t="shared" si="27"/>
        <v>7.7634008356050215</v>
      </c>
    </row>
    <row r="236" spans="2:30" x14ac:dyDescent="0.3">
      <c r="B236" s="38" t="s">
        <v>285</v>
      </c>
      <c r="C236">
        <f t="shared" si="26"/>
        <v>7.5046321315506948</v>
      </c>
      <c r="AC236" s="38" t="s">
        <v>685</v>
      </c>
      <c r="AD236">
        <f t="shared" si="27"/>
        <v>7.3290258015987177</v>
      </c>
    </row>
    <row r="237" spans="2:30" x14ac:dyDescent="0.3">
      <c r="B237" s="38" t="s">
        <v>286</v>
      </c>
      <c r="C237">
        <f t="shared" si="26"/>
        <v>7.0256909321649434</v>
      </c>
      <c r="AC237" s="38" t="s">
        <v>686</v>
      </c>
      <c r="AD237">
        <f t="shared" si="27"/>
        <v>6.8360337780259339</v>
      </c>
    </row>
    <row r="238" spans="2:30" x14ac:dyDescent="0.3">
      <c r="B238" s="38" t="s">
        <v>287</v>
      </c>
      <c r="C238">
        <f t="shared" si="26"/>
        <v>6.4796072138427858</v>
      </c>
      <c r="AC238" s="38" t="s">
        <v>687</v>
      </c>
      <c r="AD238">
        <f t="shared" si="27"/>
        <v>6.2777138870054134</v>
      </c>
    </row>
    <row r="239" spans="2:30" x14ac:dyDescent="0.3">
      <c r="B239" s="38" t="s">
        <v>288</v>
      </c>
      <c r="C239">
        <f t="shared" si="26"/>
        <v>5.8558827347385725</v>
      </c>
      <c r="AC239" s="38" t="s">
        <v>688</v>
      </c>
      <c r="AD239">
        <f t="shared" si="27"/>
        <v>5.644022990408474</v>
      </c>
    </row>
    <row r="240" spans="2:30" x14ac:dyDescent="0.3">
      <c r="B240" s="38" t="s">
        <v>289</v>
      </c>
      <c r="C240">
        <f t="shared" si="26"/>
        <v>5.1508218505261061</v>
      </c>
      <c r="AC240" s="38" t="s">
        <v>689</v>
      </c>
      <c r="AD240">
        <f t="shared" si="27"/>
        <v>4.9322360181874112</v>
      </c>
    </row>
    <row r="241" spans="2:30" x14ac:dyDescent="0.3">
      <c r="B241" s="38" t="s">
        <v>290</v>
      </c>
      <c r="C241">
        <f t="shared" si="26"/>
        <v>4.3846936106381493</v>
      </c>
      <c r="AC241" s="38" t="s">
        <v>690</v>
      </c>
      <c r="AD241">
        <f t="shared" si="27"/>
        <v>4.1653913371648708</v>
      </c>
    </row>
    <row r="242" spans="2:30" x14ac:dyDescent="0.3">
      <c r="B242" s="38" t="s">
        <v>291</v>
      </c>
      <c r="C242">
        <f t="shared" si="26"/>
        <v>3.5868877848519811</v>
      </c>
      <c r="AC242" s="38" t="s">
        <v>691</v>
      </c>
      <c r="AD242">
        <f t="shared" si="27"/>
        <v>3.3752508546626894</v>
      </c>
    </row>
    <row r="243" spans="2:30" x14ac:dyDescent="0.3">
      <c r="B243" s="38" t="s">
        <v>292</v>
      </c>
      <c r="C243">
        <f t="shared" si="26"/>
        <v>2.4527443462935627</v>
      </c>
      <c r="AC243" s="38" t="s">
        <v>692</v>
      </c>
      <c r="AD243">
        <f t="shared" si="27"/>
        <v>2.2656552737593407</v>
      </c>
    </row>
    <row r="244" spans="2:30" x14ac:dyDescent="0.3">
      <c r="B244" s="38" t="s">
        <v>293</v>
      </c>
      <c r="C244">
        <f t="shared" ref="C244:C259" si="28">R4*(1+disc)^-15</f>
        <v>9.2720710026017148</v>
      </c>
      <c r="AC244" s="38" t="s">
        <v>693</v>
      </c>
      <c r="AD244">
        <f t="shared" ref="AD244:AD259" si="29">AS4*(1+disc)^-15</f>
        <v>9.2227870564703931</v>
      </c>
    </row>
    <row r="245" spans="2:30" x14ac:dyDescent="0.3">
      <c r="B245" s="38" t="s">
        <v>294</v>
      </c>
      <c r="C245">
        <f t="shared" si="28"/>
        <v>9.1615959488019261</v>
      </c>
      <c r="AC245" s="38" t="s">
        <v>694</v>
      </c>
      <c r="AD245">
        <f t="shared" si="29"/>
        <v>9.1056773809558553</v>
      </c>
    </row>
    <row r="246" spans="2:30" x14ac:dyDescent="0.3">
      <c r="B246" s="38" t="s">
        <v>295</v>
      </c>
      <c r="C246">
        <f t="shared" si="28"/>
        <v>8.9943034680260201</v>
      </c>
      <c r="AC246" s="38" t="s">
        <v>695</v>
      </c>
      <c r="AD246">
        <f t="shared" si="29"/>
        <v>8.9263638065173012</v>
      </c>
    </row>
    <row r="247" spans="2:30" x14ac:dyDescent="0.3">
      <c r="B247" s="38" t="s">
        <v>296</v>
      </c>
      <c r="C247">
        <f t="shared" si="28"/>
        <v>8.7835352091227499</v>
      </c>
      <c r="AC247" s="38" t="s">
        <v>696</v>
      </c>
      <c r="AD247">
        <f t="shared" si="29"/>
        <v>8.7005566205847238</v>
      </c>
    </row>
    <row r="248" spans="2:30" x14ac:dyDescent="0.3">
      <c r="B248" s="38" t="s">
        <v>297</v>
      </c>
      <c r="C248">
        <f t="shared" si="28"/>
        <v>8.534251077147248</v>
      </c>
      <c r="AC248" s="38" t="s">
        <v>697</v>
      </c>
      <c r="AD248">
        <f t="shared" si="29"/>
        <v>8.4345333757634755</v>
      </c>
    </row>
    <row r="249" spans="2:30" x14ac:dyDescent="0.3">
      <c r="B249" s="38" t="s">
        <v>298</v>
      </c>
      <c r="C249">
        <f t="shared" si="28"/>
        <v>8.2469147432129208</v>
      </c>
      <c r="AC249" s="38" t="s">
        <v>698</v>
      </c>
      <c r="AD249">
        <f t="shared" si="29"/>
        <v>8.129564138372805</v>
      </c>
    </row>
    <row r="250" spans="2:30" x14ac:dyDescent="0.3">
      <c r="B250" s="38" t="s">
        <v>299</v>
      </c>
      <c r="C250">
        <f t="shared" si="28"/>
        <v>7.9208060459498553</v>
      </c>
      <c r="AC250" s="38" t="s">
        <v>699</v>
      </c>
      <c r="AD250">
        <f t="shared" si="29"/>
        <v>7.7856815724882855</v>
      </c>
    </row>
    <row r="251" spans="2:30" x14ac:dyDescent="0.3">
      <c r="B251" s="38" t="s">
        <v>300</v>
      </c>
      <c r="C251">
        <f t="shared" si="28"/>
        <v>7.5588615203957774</v>
      </c>
      <c r="AC251" s="38" t="s">
        <v>700</v>
      </c>
      <c r="AD251">
        <f t="shared" si="29"/>
        <v>7.4071162376486761</v>
      </c>
    </row>
    <row r="252" spans="2:30" x14ac:dyDescent="0.3">
      <c r="B252" s="38" t="s">
        <v>301</v>
      </c>
      <c r="C252">
        <f t="shared" si="28"/>
        <v>7.1589502644900849</v>
      </c>
      <c r="AC252" s="38" t="s">
        <v>701</v>
      </c>
      <c r="AD252">
        <f t="shared" si="29"/>
        <v>6.9925984064990869</v>
      </c>
    </row>
    <row r="253" spans="2:30" x14ac:dyDescent="0.3">
      <c r="B253" s="38" t="s">
        <v>302</v>
      </c>
      <c r="C253">
        <f t="shared" si="28"/>
        <v>6.7018307280347749</v>
      </c>
      <c r="AC253" s="38" t="s">
        <v>702</v>
      </c>
      <c r="AD253">
        <f t="shared" si="29"/>
        <v>6.5219213776707656</v>
      </c>
    </row>
    <row r="254" spans="2:30" x14ac:dyDescent="0.3">
      <c r="B254" s="38" t="s">
        <v>303</v>
      </c>
      <c r="C254">
        <f t="shared" si="28"/>
        <v>6.1806235192777015</v>
      </c>
      <c r="AC254" s="38" t="s">
        <v>703</v>
      </c>
      <c r="AD254">
        <f t="shared" si="29"/>
        <v>5.9888726011757081</v>
      </c>
    </row>
    <row r="255" spans="2:30" x14ac:dyDescent="0.3">
      <c r="B255" s="38" t="s">
        <v>304</v>
      </c>
      <c r="C255">
        <f t="shared" si="28"/>
        <v>5.5855328204084076</v>
      </c>
      <c r="AC255" s="38" t="s">
        <v>704</v>
      </c>
      <c r="AD255">
        <f t="shared" si="29"/>
        <v>5.3841107467409746</v>
      </c>
    </row>
    <row r="256" spans="2:30" x14ac:dyDescent="0.3">
      <c r="B256" s="38" t="s">
        <v>305</v>
      </c>
      <c r="C256">
        <f t="shared" si="28"/>
        <v>4.9132102267379709</v>
      </c>
      <c r="AC256" s="38" t="s">
        <v>705</v>
      </c>
      <c r="AD256">
        <f t="shared" si="29"/>
        <v>4.7052309035586921</v>
      </c>
    </row>
    <row r="257" spans="2:30" x14ac:dyDescent="0.3">
      <c r="B257" s="38" t="s">
        <v>306</v>
      </c>
      <c r="C257">
        <f t="shared" si="28"/>
        <v>4.1828251831345256</v>
      </c>
      <c r="AC257" s="38" t="s">
        <v>706</v>
      </c>
      <c r="AD257">
        <f t="shared" si="29"/>
        <v>3.9740311793910692</v>
      </c>
    </row>
    <row r="258" spans="2:30" x14ac:dyDescent="0.3">
      <c r="B258" s="38" t="s">
        <v>307</v>
      </c>
      <c r="C258">
        <f t="shared" si="28"/>
        <v>3.4222261951912945</v>
      </c>
      <c r="AC258" s="38" t="s">
        <v>707</v>
      </c>
      <c r="AD258">
        <f t="shared" si="29"/>
        <v>3.2206099870255871</v>
      </c>
    </row>
    <row r="259" spans="2:30" x14ac:dyDescent="0.3">
      <c r="B259" s="38" t="s">
        <v>308</v>
      </c>
      <c r="C259">
        <f t="shared" si="28"/>
        <v>2.3411724164703682</v>
      </c>
      <c r="AC259" s="38" t="s">
        <v>708</v>
      </c>
      <c r="AD259">
        <f t="shared" si="29"/>
        <v>2.162794214208124</v>
      </c>
    </row>
    <row r="260" spans="2:30" x14ac:dyDescent="0.3">
      <c r="B260" s="38" t="s">
        <v>309</v>
      </c>
      <c r="C260">
        <f t="shared" ref="C260:C275" si="30">S4*(1+disc)^-16</f>
        <v>8.8358764130666358</v>
      </c>
      <c r="AC260" s="38" t="s">
        <v>709</v>
      </c>
      <c r="AD260">
        <f t="shared" ref="AD260:AD275" si="31">AT4*(1+disc)^-16</f>
        <v>8.7895033514104721</v>
      </c>
    </row>
    <row r="261" spans="2:30" x14ac:dyDescent="0.3">
      <c r="B261" s="38" t="s">
        <v>310</v>
      </c>
      <c r="C261">
        <f t="shared" si="30"/>
        <v>8.7311056958124542</v>
      </c>
      <c r="AC261" s="38" t="s">
        <v>710</v>
      </c>
      <c r="AD261">
        <f t="shared" si="31"/>
        <v>8.6784356748596618</v>
      </c>
    </row>
    <row r="262" spans="2:30" x14ac:dyDescent="0.3">
      <c r="B262" s="38" t="s">
        <v>311</v>
      </c>
      <c r="C262">
        <f t="shared" si="30"/>
        <v>8.5729046521691483</v>
      </c>
      <c r="AC262" s="38" t="s">
        <v>711</v>
      </c>
      <c r="AD262">
        <f t="shared" si="31"/>
        <v>8.5088876090721222</v>
      </c>
    </row>
    <row r="263" spans="2:30" x14ac:dyDescent="0.3">
      <c r="B263" s="38" t="s">
        <v>312</v>
      </c>
      <c r="C263">
        <f t="shared" si="30"/>
        <v>8.3735942413778854</v>
      </c>
      <c r="AC263" s="38" t="s">
        <v>712</v>
      </c>
      <c r="AD263">
        <f t="shared" si="31"/>
        <v>8.2953840244547035</v>
      </c>
    </row>
    <row r="264" spans="2:30" x14ac:dyDescent="0.3">
      <c r="B264" s="38" t="s">
        <v>313</v>
      </c>
      <c r="C264">
        <f t="shared" si="30"/>
        <v>8.1376613008406515</v>
      </c>
      <c r="AC264" s="38" t="s">
        <v>713</v>
      </c>
      <c r="AD264">
        <f t="shared" si="31"/>
        <v>8.0436361755287393</v>
      </c>
    </row>
    <row r="265" spans="2:30" x14ac:dyDescent="0.3">
      <c r="B265" s="38" t="s">
        <v>314</v>
      </c>
      <c r="C265">
        <f t="shared" si="30"/>
        <v>7.865247621468515</v>
      </c>
      <c r="AC265" s="38" t="s">
        <v>714</v>
      </c>
      <c r="AD265">
        <f t="shared" si="31"/>
        <v>7.7545180344195161</v>
      </c>
    </row>
    <row r="266" spans="2:30" x14ac:dyDescent="0.3">
      <c r="B266" s="38" t="s">
        <v>315</v>
      </c>
      <c r="C266">
        <f t="shared" si="30"/>
        <v>7.5553964512734364</v>
      </c>
      <c r="AC266" s="38" t="s">
        <v>715</v>
      </c>
      <c r="AD266">
        <f t="shared" si="31"/>
        <v>7.4277606535057759</v>
      </c>
    </row>
    <row r="267" spans="2:30" x14ac:dyDescent="0.3">
      <c r="B267" s="38" t="s">
        <v>316</v>
      </c>
      <c r="C267">
        <f t="shared" si="30"/>
        <v>7.2107285829362615</v>
      </c>
      <c r="AC267" s="38" t="s">
        <v>716</v>
      </c>
      <c r="AD267">
        <f t="shared" si="31"/>
        <v>7.0672030229570071</v>
      </c>
    </row>
    <row r="268" spans="2:30" x14ac:dyDescent="0.3">
      <c r="B268" s="38" t="s">
        <v>317</v>
      </c>
      <c r="C268">
        <f t="shared" si="30"/>
        <v>6.8292080637722838</v>
      </c>
      <c r="AC268" s="38" t="s">
        <v>717</v>
      </c>
      <c r="AD268">
        <f t="shared" si="31"/>
        <v>6.6716330488775402</v>
      </c>
    </row>
    <row r="269" spans="2:30" x14ac:dyDescent="0.3">
      <c r="B269" s="38" t="s">
        <v>318</v>
      </c>
      <c r="C269">
        <f t="shared" si="30"/>
        <v>6.3929150602547979</v>
      </c>
      <c r="AC269" s="38" t="s">
        <v>718</v>
      </c>
      <c r="AD269">
        <f t="shared" si="31"/>
        <v>6.2222596358132245</v>
      </c>
    </row>
    <row r="270" spans="2:30" x14ac:dyDescent="0.3">
      <c r="B270" s="38" t="s">
        <v>319</v>
      </c>
      <c r="C270">
        <f t="shared" si="30"/>
        <v>5.8954505549285994</v>
      </c>
      <c r="AC270" s="38" t="s">
        <v>719</v>
      </c>
      <c r="AD270">
        <f t="shared" si="31"/>
        <v>5.7133372181828532</v>
      </c>
    </row>
    <row r="271" spans="2:30" x14ac:dyDescent="0.3">
      <c r="B271" s="38" t="s">
        <v>320</v>
      </c>
      <c r="C271">
        <f t="shared" si="30"/>
        <v>5.3276787656644879</v>
      </c>
      <c r="AC271" s="38" t="s">
        <v>720</v>
      </c>
      <c r="AD271">
        <f t="shared" si="31"/>
        <v>5.1361830578446579</v>
      </c>
    </row>
    <row r="272" spans="2:30" x14ac:dyDescent="0.3">
      <c r="B272" s="38" t="s">
        <v>321</v>
      </c>
      <c r="C272">
        <f t="shared" si="30"/>
        <v>4.6865741197353064</v>
      </c>
      <c r="AC272" s="38" t="s">
        <v>721</v>
      </c>
      <c r="AD272">
        <f t="shared" si="31"/>
        <v>4.4886884087949852</v>
      </c>
    </row>
    <row r="273" spans="2:30" x14ac:dyDescent="0.3">
      <c r="B273" s="38" t="s">
        <v>322</v>
      </c>
      <c r="C273">
        <f t="shared" si="30"/>
        <v>3.9902646740128813</v>
      </c>
      <c r="AC273" s="38" t="s">
        <v>722</v>
      </c>
      <c r="AD273">
        <f t="shared" si="31"/>
        <v>3.7914763350118839</v>
      </c>
    </row>
    <row r="274" spans="2:30" x14ac:dyDescent="0.3">
      <c r="B274" s="38" t="s">
        <v>323</v>
      </c>
      <c r="C274">
        <f t="shared" si="30"/>
        <v>3.2651374377733839</v>
      </c>
      <c r="AC274" s="38" t="s">
        <v>723</v>
      </c>
      <c r="AD274">
        <f t="shared" si="31"/>
        <v>3.0730677204008421</v>
      </c>
    </row>
    <row r="275" spans="2:30" x14ac:dyDescent="0.3">
      <c r="B275" s="38" t="s">
        <v>324</v>
      </c>
      <c r="C275">
        <f t="shared" si="30"/>
        <v>2.2346892921661117</v>
      </c>
      <c r="AC275" s="38" t="s">
        <v>724</v>
      </c>
      <c r="AD275">
        <f t="shared" si="31"/>
        <v>2.0646160628524468</v>
      </c>
    </row>
    <row r="276" spans="2:30" x14ac:dyDescent="0.3">
      <c r="B276" s="38" t="s">
        <v>325</v>
      </c>
      <c r="C276">
        <f t="shared" ref="C276:C291" si="32">T4*(1+disc)^-17</f>
        <v>8.4202121097374345</v>
      </c>
      <c r="AC276" s="38" t="s">
        <v>725</v>
      </c>
      <c r="AD276">
        <f t="shared" ref="AD276:AD291" si="33">AU4*(1+disc)^-17</f>
        <v>8.3765871669278322</v>
      </c>
    </row>
    <row r="277" spans="2:30" x14ac:dyDescent="0.3">
      <c r="B277" s="38" t="s">
        <v>326</v>
      </c>
      <c r="C277">
        <f t="shared" si="32"/>
        <v>8.3208554316555805</v>
      </c>
      <c r="AC277" s="38" t="s">
        <v>726</v>
      </c>
      <c r="AD277">
        <f t="shared" si="33"/>
        <v>8.2712545402326114</v>
      </c>
    </row>
    <row r="278" spans="2:30" x14ac:dyDescent="0.3">
      <c r="B278" s="38" t="s">
        <v>327</v>
      </c>
      <c r="C278">
        <f t="shared" si="32"/>
        <v>8.1712629867738169</v>
      </c>
      <c r="AC278" s="38" t="s">
        <v>727</v>
      </c>
      <c r="AD278">
        <f t="shared" si="33"/>
        <v>8.110952929204343</v>
      </c>
    </row>
    <row r="279" spans="2:30" x14ac:dyDescent="0.3">
      <c r="B279" s="38" t="s">
        <v>328</v>
      </c>
      <c r="C279">
        <f t="shared" si="32"/>
        <v>7.9828016236182373</v>
      </c>
      <c r="AC279" s="38" t="s">
        <v>728</v>
      </c>
      <c r="AD279">
        <f t="shared" si="33"/>
        <v>7.9090985785655823</v>
      </c>
    </row>
    <row r="280" spans="2:30" x14ac:dyDescent="0.3">
      <c r="B280" s="38" t="s">
        <v>329</v>
      </c>
      <c r="C280">
        <f t="shared" si="32"/>
        <v>7.7595184544613591</v>
      </c>
      <c r="AC280" s="38" t="s">
        <v>729</v>
      </c>
      <c r="AD280">
        <f t="shared" si="33"/>
        <v>7.6708755551570622</v>
      </c>
    </row>
    <row r="281" spans="2:30" x14ac:dyDescent="0.3">
      <c r="B281" s="38" t="s">
        <v>330</v>
      </c>
      <c r="C281">
        <f t="shared" si="32"/>
        <v>7.5012620463164534</v>
      </c>
      <c r="AC281" s="38" t="s">
        <v>730</v>
      </c>
      <c r="AD281">
        <f t="shared" si="33"/>
        <v>7.3967953945665608</v>
      </c>
    </row>
    <row r="282" spans="2:30" x14ac:dyDescent="0.3">
      <c r="B282" s="38" t="s">
        <v>331</v>
      </c>
      <c r="C282">
        <f t="shared" si="32"/>
        <v>7.206862133072903</v>
      </c>
      <c r="AC282" s="38" t="s">
        <v>731</v>
      </c>
      <c r="AD282">
        <f t="shared" si="33"/>
        <v>7.0863148400935172</v>
      </c>
    </row>
    <row r="283" spans="2:30" x14ac:dyDescent="0.3">
      <c r="B283" s="38" t="s">
        <v>332</v>
      </c>
      <c r="C283">
        <f t="shared" si="32"/>
        <v>6.878646387834074</v>
      </c>
      <c r="AC283" s="38" t="s">
        <v>732</v>
      </c>
      <c r="AD283">
        <f t="shared" si="33"/>
        <v>6.7429080575581262</v>
      </c>
    </row>
    <row r="284" spans="2:30" x14ac:dyDescent="0.3">
      <c r="B284" s="38" t="s">
        <v>333</v>
      </c>
      <c r="C284">
        <f t="shared" si="32"/>
        <v>6.5146698359810902</v>
      </c>
      <c r="AC284" s="38" t="s">
        <v>733</v>
      </c>
      <c r="AD284">
        <f t="shared" si="33"/>
        <v>6.3654183092428438</v>
      </c>
    </row>
    <row r="285" spans="2:30" x14ac:dyDescent="0.3">
      <c r="B285" s="38" t="s">
        <v>334</v>
      </c>
      <c r="C285">
        <f t="shared" si="32"/>
        <v>6.0982536581389732</v>
      </c>
      <c r="AC285" s="38" t="s">
        <v>734</v>
      </c>
      <c r="AD285">
        <f t="shared" si="33"/>
        <v>5.93638303097533</v>
      </c>
    </row>
    <row r="286" spans="2:30" x14ac:dyDescent="0.3">
      <c r="B286" s="38" t="s">
        <v>335</v>
      </c>
      <c r="C286">
        <f t="shared" si="32"/>
        <v>5.6234497539489414</v>
      </c>
      <c r="AC286" s="38" t="s">
        <v>735</v>
      </c>
      <c r="AD286">
        <f t="shared" si="33"/>
        <v>5.4504941147158839</v>
      </c>
    </row>
    <row r="287" spans="2:30" x14ac:dyDescent="0.3">
      <c r="B287" s="38" t="s">
        <v>336</v>
      </c>
      <c r="C287">
        <f t="shared" si="32"/>
        <v>5.0817424021300113</v>
      </c>
      <c r="AC287" s="38" t="s">
        <v>736</v>
      </c>
      <c r="AD287">
        <f t="shared" si="33"/>
        <v>4.8996866861929655</v>
      </c>
    </row>
    <row r="288" spans="2:30" x14ac:dyDescent="0.3">
      <c r="B288" s="38" t="s">
        <v>337</v>
      </c>
      <c r="C288">
        <f t="shared" si="32"/>
        <v>4.4704059792308373</v>
      </c>
      <c r="AC288" s="38" t="s">
        <v>737</v>
      </c>
      <c r="AD288">
        <f t="shared" si="33"/>
        <v>4.2821257151623007</v>
      </c>
    </row>
    <row r="289" spans="2:30" x14ac:dyDescent="0.3">
      <c r="B289" s="38" t="s">
        <v>338</v>
      </c>
      <c r="C289">
        <f t="shared" si="32"/>
        <v>3.8065823436132407</v>
      </c>
      <c r="AC289" s="38" t="s">
        <v>738</v>
      </c>
      <c r="AD289">
        <f t="shared" si="33"/>
        <v>3.6173210672699607</v>
      </c>
    </row>
    <row r="290" spans="2:30" x14ac:dyDescent="0.3">
      <c r="B290" s="38" t="s">
        <v>339</v>
      </c>
      <c r="C290">
        <f t="shared" si="32"/>
        <v>3.1152726906264951</v>
      </c>
      <c r="AC290" s="38" t="s">
        <v>739</v>
      </c>
      <c r="AD290">
        <f t="shared" si="33"/>
        <v>2.9322976674070182</v>
      </c>
    </row>
    <row r="291" spans="2:30" x14ac:dyDescent="0.3">
      <c r="B291" s="38" t="s">
        <v>340</v>
      </c>
      <c r="C291">
        <f t="shared" si="32"/>
        <v>2.1330623459194227</v>
      </c>
      <c r="AC291" s="38" t="s">
        <v>740</v>
      </c>
      <c r="AD291">
        <f t="shared" si="33"/>
        <v>1.9709071211254692</v>
      </c>
    </row>
    <row r="292" spans="2:30" x14ac:dyDescent="0.3">
      <c r="B292" s="38" t="s">
        <v>341</v>
      </c>
      <c r="C292">
        <f t="shared" ref="C292:C307" si="34">U4*(1+disc)^-18</f>
        <v>8.0241113689899954</v>
      </c>
      <c r="AC292" s="38" t="s">
        <v>741</v>
      </c>
      <c r="AD292">
        <f t="shared" ref="AD292:AD307" si="35">AV4*(1+disc)^-18</f>
        <v>7.9830805686990036</v>
      </c>
    </row>
    <row r="293" spans="2:30" x14ac:dyDescent="0.3">
      <c r="B293" s="38" t="s">
        <v>342</v>
      </c>
      <c r="C293">
        <f t="shared" si="34"/>
        <v>7.929893039918289</v>
      </c>
      <c r="AC293" s="38" t="s">
        <v>742</v>
      </c>
      <c r="AD293">
        <f t="shared" si="35"/>
        <v>7.8831914513401617</v>
      </c>
    </row>
    <row r="294" spans="2:30" x14ac:dyDescent="0.3">
      <c r="B294" s="38" t="s">
        <v>343</v>
      </c>
      <c r="C294">
        <f t="shared" si="34"/>
        <v>7.7884515673267227</v>
      </c>
      <c r="AC294" s="38" t="s">
        <v>743</v>
      </c>
      <c r="AD294">
        <f t="shared" si="35"/>
        <v>7.7316443439833904</v>
      </c>
    </row>
    <row r="295" spans="2:30" x14ac:dyDescent="0.3">
      <c r="B295" s="38" t="s">
        <v>344</v>
      </c>
      <c r="C295">
        <f t="shared" si="34"/>
        <v>7.6102622582079471</v>
      </c>
      <c r="AC295" s="38" t="s">
        <v>744</v>
      </c>
      <c r="AD295">
        <f t="shared" si="35"/>
        <v>7.5408190526412779</v>
      </c>
    </row>
    <row r="296" spans="2:30" x14ac:dyDescent="0.3">
      <c r="B296" s="38" t="s">
        <v>345</v>
      </c>
      <c r="C296">
        <f t="shared" si="34"/>
        <v>7.3989637596582369</v>
      </c>
      <c r="AC296" s="38" t="s">
        <v>745</v>
      </c>
      <c r="AD296">
        <f t="shared" si="35"/>
        <v>7.3154091514602166</v>
      </c>
    </row>
    <row r="297" spans="2:30" x14ac:dyDescent="0.3">
      <c r="B297" s="38" t="s">
        <v>346</v>
      </c>
      <c r="C297">
        <f t="shared" si="34"/>
        <v>7.1541381126929275</v>
      </c>
      <c r="AC297" s="38" t="s">
        <v>746</v>
      </c>
      <c r="AD297">
        <f t="shared" si="35"/>
        <v>7.0555951404154316</v>
      </c>
    </row>
    <row r="298" spans="2:30" x14ac:dyDescent="0.3">
      <c r="B298" s="38" t="s">
        <v>347</v>
      </c>
      <c r="C298">
        <f t="shared" si="34"/>
        <v>6.8744229991544934</v>
      </c>
      <c r="AC298" s="38" t="s">
        <v>747</v>
      </c>
      <c r="AD298">
        <f t="shared" si="35"/>
        <v>6.7605848974204754</v>
      </c>
    </row>
    <row r="299" spans="2:30" x14ac:dyDescent="0.3">
      <c r="B299" s="38" t="s">
        <v>348</v>
      </c>
      <c r="C299">
        <f t="shared" si="34"/>
        <v>6.5618741909745468</v>
      </c>
      <c r="AC299" s="38" t="s">
        <v>748</v>
      </c>
      <c r="AD299">
        <f t="shared" si="35"/>
        <v>6.4335128907932315</v>
      </c>
    </row>
    <row r="300" spans="2:30" x14ac:dyDescent="0.3">
      <c r="B300" s="38" t="s">
        <v>349</v>
      </c>
      <c r="C300">
        <f t="shared" si="34"/>
        <v>6.2146338734350124</v>
      </c>
      <c r="AC300" s="38" t="s">
        <v>749</v>
      </c>
      <c r="AD300">
        <f t="shared" si="35"/>
        <v>6.0732755346322032</v>
      </c>
    </row>
    <row r="301" spans="2:30" x14ac:dyDescent="0.3">
      <c r="B301" s="38" t="s">
        <v>350</v>
      </c>
      <c r="C301">
        <f t="shared" si="34"/>
        <v>5.8171881614589296</v>
      </c>
      <c r="AC301" s="38" t="s">
        <v>750</v>
      </c>
      <c r="AD301">
        <f t="shared" si="35"/>
        <v>5.6636567225930179</v>
      </c>
    </row>
    <row r="302" spans="2:30" x14ac:dyDescent="0.3">
      <c r="B302" s="38" t="s">
        <v>351</v>
      </c>
      <c r="C302">
        <f t="shared" si="34"/>
        <v>5.3640121008290249</v>
      </c>
      <c r="AC302" s="38" t="s">
        <v>751</v>
      </c>
      <c r="AD302">
        <f t="shared" si="35"/>
        <v>5.1997579936483902</v>
      </c>
    </row>
    <row r="303" spans="2:30" x14ac:dyDescent="0.3">
      <c r="B303" s="38" t="s">
        <v>352</v>
      </c>
      <c r="C303">
        <f t="shared" si="34"/>
        <v>4.8471723374051994</v>
      </c>
      <c r="AC303" s="38" t="s">
        <v>752</v>
      </c>
      <c r="AD303">
        <f t="shared" si="35"/>
        <v>4.6740939593078012</v>
      </c>
    </row>
    <row r="304" spans="2:30" x14ac:dyDescent="0.3">
      <c r="B304" s="38" t="s">
        <v>353</v>
      </c>
      <c r="C304">
        <f t="shared" si="34"/>
        <v>4.2642217499563362</v>
      </c>
      <c r="AC304" s="38" t="s">
        <v>753</v>
      </c>
      <c r="AD304">
        <f t="shared" si="35"/>
        <v>4.0850823092715762</v>
      </c>
    </row>
    <row r="305" spans="2:30" x14ac:dyDescent="0.3">
      <c r="B305" s="38" t="s">
        <v>354</v>
      </c>
      <c r="C305">
        <f t="shared" si="34"/>
        <v>3.6313683159713048</v>
      </c>
      <c r="AC305" s="38" t="s">
        <v>754</v>
      </c>
      <c r="AD305">
        <f t="shared" si="35"/>
        <v>3.4511783582860276</v>
      </c>
    </row>
    <row r="306" spans="2:30" x14ac:dyDescent="0.3">
      <c r="B306" s="38" t="s">
        <v>355</v>
      </c>
      <c r="C306">
        <f t="shared" si="34"/>
        <v>2.9722992212667751</v>
      </c>
      <c r="AC306" s="38" t="s">
        <v>755</v>
      </c>
      <c r="AD306">
        <f t="shared" si="35"/>
        <v>2.7979884691703649</v>
      </c>
    </row>
    <row r="307" spans="2:30" x14ac:dyDescent="0.3">
      <c r="B307" s="38" t="s">
        <v>356</v>
      </c>
      <c r="C307">
        <f t="shared" si="34"/>
        <v>2.0360696053157135</v>
      </c>
      <c r="AC307" s="38" t="s">
        <v>756</v>
      </c>
      <c r="AD307">
        <f t="shared" si="35"/>
        <v>1.8814634621004351</v>
      </c>
    </row>
    <row r="308" spans="2:30" x14ac:dyDescent="0.3">
      <c r="B308" s="38" t="s">
        <v>357</v>
      </c>
      <c r="C308">
        <f t="shared" ref="C308:C323" si="36">V4*(1+disc)^-19</f>
        <v>7.6460833817684097</v>
      </c>
      <c r="AC308" s="38" t="s">
        <v>757</v>
      </c>
      <c r="AD308">
        <f t="shared" ref="AD308:AD323" si="37">AW4*(1+disc)^-19</f>
        <v>7.6074306186437948</v>
      </c>
    </row>
    <row r="309" spans="2:30" x14ac:dyDescent="0.3">
      <c r="B309" s="38" t="s">
        <v>358</v>
      </c>
      <c r="C309">
        <f t="shared" si="36"/>
        <v>7.5567129359182879</v>
      </c>
      <c r="AC309" s="38" t="s">
        <v>758</v>
      </c>
      <c r="AD309">
        <f t="shared" si="37"/>
        <v>7.5126768285769492</v>
      </c>
    </row>
    <row r="310" spans="2:30" x14ac:dyDescent="0.3">
      <c r="B310" s="38" t="s">
        <v>359</v>
      </c>
      <c r="C310">
        <f t="shared" si="36"/>
        <v>7.4228849455179935</v>
      </c>
      <c r="AC310" s="38" t="s">
        <v>759</v>
      </c>
      <c r="AD310">
        <f t="shared" si="37"/>
        <v>7.3693019315503756</v>
      </c>
    </row>
    <row r="311" spans="2:30" x14ac:dyDescent="0.3">
      <c r="B311" s="38" t="s">
        <v>360</v>
      </c>
      <c r="C311">
        <f t="shared" si="36"/>
        <v>7.2542968414161697</v>
      </c>
      <c r="AC311" s="38" t="s">
        <v>760</v>
      </c>
      <c r="AD311">
        <f t="shared" si="37"/>
        <v>7.1887791546163617</v>
      </c>
    </row>
    <row r="312" spans="2:30" x14ac:dyDescent="0.3">
      <c r="B312" s="38" t="s">
        <v>361</v>
      </c>
      <c r="C312">
        <f t="shared" si="36"/>
        <v>7.054246850263322</v>
      </c>
      <c r="AC312" s="38" t="s">
        <v>761</v>
      </c>
      <c r="AD312">
        <f t="shared" si="37"/>
        <v>6.9753894436479804</v>
      </c>
    </row>
    <row r="313" spans="2:30" x14ac:dyDescent="0.3">
      <c r="B313" s="38" t="s">
        <v>362</v>
      </c>
      <c r="C313">
        <f t="shared" si="36"/>
        <v>6.8221210378769346</v>
      </c>
      <c r="AC313" s="38" t="s">
        <v>762</v>
      </c>
      <c r="AD313">
        <f t="shared" si="37"/>
        <v>6.7290624249061564</v>
      </c>
    </row>
    <row r="314" spans="2:30" x14ac:dyDescent="0.3">
      <c r="B314" s="38" t="s">
        <v>363</v>
      </c>
      <c r="C314">
        <f t="shared" si="36"/>
        <v>6.556423917151621</v>
      </c>
      <c r="AC314" s="38" t="s">
        <v>763</v>
      </c>
      <c r="AD314">
        <f t="shared" si="37"/>
        <v>6.4488237002050326</v>
      </c>
    </row>
    <row r="315" spans="2:30" x14ac:dyDescent="0.3">
      <c r="B315" s="38" t="s">
        <v>364</v>
      </c>
      <c r="C315">
        <f t="shared" si="36"/>
        <v>6.2589685186200139</v>
      </c>
      <c r="AC315" s="38" t="s">
        <v>764</v>
      </c>
      <c r="AD315">
        <f t="shared" si="37"/>
        <v>6.1375009010007719</v>
      </c>
    </row>
    <row r="316" spans="2:30" x14ac:dyDescent="0.3">
      <c r="B316" s="38" t="s">
        <v>365</v>
      </c>
      <c r="C316">
        <f t="shared" si="36"/>
        <v>5.9279656629526265</v>
      </c>
      <c r="AC316" s="38" t="s">
        <v>765</v>
      </c>
      <c r="AD316">
        <f t="shared" si="37"/>
        <v>5.794024170095601</v>
      </c>
    </row>
    <row r="317" spans="2:30" x14ac:dyDescent="0.3">
      <c r="B317" s="38" t="s">
        <v>366</v>
      </c>
      <c r="C317">
        <f t="shared" si="36"/>
        <v>5.5489229241640778</v>
      </c>
      <c r="AC317" s="38" t="s">
        <v>766</v>
      </c>
      <c r="AD317">
        <f t="shared" si="37"/>
        <v>5.403266296819691</v>
      </c>
    </row>
    <row r="318" spans="2:30" x14ac:dyDescent="0.3">
      <c r="B318" s="38" t="s">
        <v>367</v>
      </c>
      <c r="C318">
        <f t="shared" si="36"/>
        <v>5.1166614893585338</v>
      </c>
      <c r="AC318" s="38" t="s">
        <v>767</v>
      </c>
      <c r="AD318">
        <f t="shared" si="37"/>
        <v>4.9606559340867467</v>
      </c>
    </row>
    <row r="319" spans="2:30" x14ac:dyDescent="0.3">
      <c r="B319" s="38" t="s">
        <v>368</v>
      </c>
      <c r="C319">
        <f t="shared" si="36"/>
        <v>4.6237542670223197</v>
      </c>
      <c r="AC319" s="38" t="s">
        <v>768</v>
      </c>
      <c r="AD319">
        <f t="shared" si="37"/>
        <v>4.4592067703912051</v>
      </c>
    </row>
    <row r="320" spans="2:30" x14ac:dyDescent="0.3">
      <c r="B320" s="38" t="s">
        <v>369</v>
      </c>
      <c r="C320">
        <f t="shared" si="36"/>
        <v>4.0679743993833908</v>
      </c>
      <c r="AC320" s="38" t="s">
        <v>769</v>
      </c>
      <c r="AD320">
        <f t="shared" si="37"/>
        <v>3.8975283014474145</v>
      </c>
    </row>
    <row r="321" spans="2:30" x14ac:dyDescent="0.3">
      <c r="B321" s="38" t="s">
        <v>370</v>
      </c>
      <c r="C321">
        <f t="shared" si="36"/>
        <v>3.4647138671087956</v>
      </c>
      <c r="AC321" s="38" t="s">
        <v>770</v>
      </c>
      <c r="AD321">
        <f t="shared" si="37"/>
        <v>3.2931519988370646</v>
      </c>
    </row>
    <row r="322" spans="2:30" x14ac:dyDescent="0.3">
      <c r="B322" s="38" t="s">
        <v>371</v>
      </c>
      <c r="C322">
        <f t="shared" si="36"/>
        <v>2.8364923326665497</v>
      </c>
      <c r="AC322" s="38" t="s">
        <v>771</v>
      </c>
      <c r="AD322">
        <f t="shared" si="37"/>
        <v>2.6704269455272516</v>
      </c>
    </row>
    <row r="323" spans="2:30" x14ac:dyDescent="0.3">
      <c r="B323" s="38" t="s">
        <v>372</v>
      </c>
      <c r="C323">
        <f t="shared" si="36"/>
        <v>1.9440484489276162</v>
      </c>
      <c r="AC323" s="38" t="s">
        <v>772</v>
      </c>
      <c r="AD323">
        <f t="shared" si="37"/>
        <v>1.7966237148076329</v>
      </c>
    </row>
    <row r="324" spans="2:30" x14ac:dyDescent="0.3">
      <c r="B324" s="38" t="s">
        <v>373</v>
      </c>
      <c r="C324">
        <f t="shared" ref="C324:C339" si="38">W4*(1+disc)^-20</f>
        <v>7.2858724336220906</v>
      </c>
      <c r="AC324" s="38" t="s">
        <v>773</v>
      </c>
      <c r="AD324">
        <f t="shared" ref="AD324:AD339" si="39">AX4*(1+disc)^-20</f>
        <v>7.2494661569540257</v>
      </c>
    </row>
    <row r="325" spans="2:30" x14ac:dyDescent="0.3">
      <c r="B325" s="38" t="s">
        <v>374</v>
      </c>
      <c r="C325">
        <f t="shared" si="38"/>
        <v>7.2011037309783061</v>
      </c>
      <c r="AC325" s="38" t="s">
        <v>774</v>
      </c>
      <c r="AD325">
        <f t="shared" si="39"/>
        <v>7.1595873739249818</v>
      </c>
    </row>
    <row r="326" spans="2:30" x14ac:dyDescent="0.3">
      <c r="B326" s="38" t="s">
        <v>375</v>
      </c>
      <c r="C326">
        <f t="shared" si="38"/>
        <v>7.074487646892397</v>
      </c>
      <c r="AC326" s="38" t="s">
        <v>775</v>
      </c>
      <c r="AD326">
        <f t="shared" si="39"/>
        <v>7.0239533309427875</v>
      </c>
    </row>
    <row r="327" spans="2:30" x14ac:dyDescent="0.3">
      <c r="B327" s="38" t="s">
        <v>376</v>
      </c>
      <c r="C327">
        <f t="shared" si="38"/>
        <v>6.9149938510700997</v>
      </c>
      <c r="AC327" s="38" t="s">
        <v>776</v>
      </c>
      <c r="AD327">
        <f t="shared" si="39"/>
        <v>6.8531886666308495</v>
      </c>
    </row>
    <row r="328" spans="2:30" x14ac:dyDescent="0.3">
      <c r="B328" s="38" t="s">
        <v>377</v>
      </c>
      <c r="C328">
        <f t="shared" si="38"/>
        <v>6.7256040538582136</v>
      </c>
      <c r="AC328" s="38" t="s">
        <v>777</v>
      </c>
      <c r="AD328">
        <f t="shared" si="39"/>
        <v>6.6511900132101367</v>
      </c>
    </row>
    <row r="329" spans="2:30" x14ac:dyDescent="0.3">
      <c r="B329" s="38" t="s">
        <v>378</v>
      </c>
      <c r="C329">
        <f t="shared" si="38"/>
        <v>6.5055273657073016</v>
      </c>
      <c r="AC329" s="38" t="s">
        <v>778</v>
      </c>
      <c r="AD329">
        <f t="shared" si="39"/>
        <v>6.4176588623635125</v>
      </c>
    </row>
    <row r="330" spans="2:30" x14ac:dyDescent="0.3">
      <c r="B330" s="38" t="s">
        <v>379</v>
      </c>
      <c r="C330">
        <f t="shared" si="38"/>
        <v>6.2531501789022839</v>
      </c>
      <c r="AC330" s="38" t="s">
        <v>779</v>
      </c>
      <c r="AD330">
        <f t="shared" si="39"/>
        <v>6.1514567966966096</v>
      </c>
    </row>
    <row r="331" spans="2:30" x14ac:dyDescent="0.3">
      <c r="B331" s="38" t="s">
        <v>380</v>
      </c>
      <c r="C331">
        <f t="shared" si="38"/>
        <v>5.9700606211803589</v>
      </c>
      <c r="AC331" s="38" t="s">
        <v>780</v>
      </c>
      <c r="AD331">
        <f t="shared" si="39"/>
        <v>5.8551259733378727</v>
      </c>
    </row>
    <row r="332" spans="2:30" x14ac:dyDescent="0.3">
      <c r="B332" s="38" t="s">
        <v>381</v>
      </c>
      <c r="C332">
        <f t="shared" si="38"/>
        <v>5.6545358537015016</v>
      </c>
      <c r="AC332" s="38" t="s">
        <v>781</v>
      </c>
      <c r="AD332">
        <f t="shared" si="39"/>
        <v>5.5276296129166047</v>
      </c>
    </row>
    <row r="333" spans="2:30" x14ac:dyDescent="0.3">
      <c r="B333" s="38" t="s">
        <v>382</v>
      </c>
      <c r="C333">
        <f t="shared" si="38"/>
        <v>5.2930437438825875</v>
      </c>
      <c r="AC333" s="38" t="s">
        <v>782</v>
      </c>
      <c r="AD333">
        <f t="shared" si="39"/>
        <v>5.1548636351927053</v>
      </c>
    </row>
    <row r="334" spans="2:30" x14ac:dyDescent="0.3">
      <c r="B334" s="38" t="s">
        <v>383</v>
      </c>
      <c r="C334">
        <f t="shared" si="38"/>
        <v>4.8807315639651847</v>
      </c>
      <c r="AC334" s="38" t="s">
        <v>783</v>
      </c>
      <c r="AD334">
        <f t="shared" si="39"/>
        <v>4.7325642370353433</v>
      </c>
    </row>
    <row r="335" spans="2:30" x14ac:dyDescent="0.3">
      <c r="B335" s="38" t="s">
        <v>384</v>
      </c>
      <c r="C335">
        <f t="shared" si="38"/>
        <v>4.4106487370859879</v>
      </c>
      <c r="AC335" s="38" t="s">
        <v>784</v>
      </c>
      <c r="AD335">
        <f t="shared" si="39"/>
        <v>4.2542142064594799</v>
      </c>
    </row>
    <row r="336" spans="2:30" x14ac:dyDescent="0.3">
      <c r="B336" s="38" t="s">
        <v>385</v>
      </c>
      <c r="C336">
        <f t="shared" si="38"/>
        <v>3.8807734695055998</v>
      </c>
      <c r="AC336" s="38" t="s">
        <v>785</v>
      </c>
      <c r="AD336">
        <f t="shared" si="39"/>
        <v>3.718600432477726</v>
      </c>
    </row>
    <row r="337" spans="2:30" x14ac:dyDescent="0.3">
      <c r="B337" s="38" t="s">
        <v>386</v>
      </c>
      <c r="C337">
        <f t="shared" si="38"/>
        <v>3.3057225445784204</v>
      </c>
      <c r="AC337" s="38" t="s">
        <v>786</v>
      </c>
      <c r="AD337">
        <f t="shared" si="39"/>
        <v>3.1423764837247008</v>
      </c>
    </row>
    <row r="338" spans="2:30" x14ac:dyDescent="0.3">
      <c r="B338" s="38" t="s">
        <v>387</v>
      </c>
      <c r="C338">
        <f t="shared" si="38"/>
        <v>2.7069053839296773</v>
      </c>
      <c r="AC338" s="38" t="s">
        <v>787</v>
      </c>
      <c r="AD338">
        <f t="shared" si="39"/>
        <v>2.5486956123457722</v>
      </c>
    </row>
    <row r="339" spans="2:30" x14ac:dyDescent="0.3">
      <c r="B339" s="38" t="s">
        <v>388</v>
      </c>
      <c r="C339">
        <f t="shared" si="38"/>
        <v>1.8562005778583455</v>
      </c>
      <c r="AC339" s="38" t="s">
        <v>788</v>
      </c>
      <c r="AD339">
        <f t="shared" si="39"/>
        <v>1.7156233802037386</v>
      </c>
    </row>
    <row r="340" spans="2:30" x14ac:dyDescent="0.3">
      <c r="B340" s="38" t="s">
        <v>389</v>
      </c>
      <c r="C340">
        <f t="shared" ref="C340:C355" si="40">X4*(1+disc)^-21</f>
        <v>6.9426384576492159</v>
      </c>
      <c r="AC340" s="38" t="s">
        <v>789</v>
      </c>
      <c r="AD340">
        <f t="shared" ref="AD340:AD355" si="41">AY4*(1+disc)^-21</f>
        <v>6.9083541750114552</v>
      </c>
    </row>
    <row r="341" spans="2:30" x14ac:dyDescent="0.3">
      <c r="B341" s="38" t="s">
        <v>390</v>
      </c>
      <c r="C341">
        <f t="shared" si="40"/>
        <v>6.8622377260334666</v>
      </c>
      <c r="AC341" s="38" t="s">
        <v>790</v>
      </c>
      <c r="AD341">
        <f t="shared" si="41"/>
        <v>6.8231031316036761</v>
      </c>
    </row>
    <row r="342" spans="2:30" x14ac:dyDescent="0.3">
      <c r="B342" s="38" t="s">
        <v>391</v>
      </c>
      <c r="C342">
        <f t="shared" si="40"/>
        <v>6.7424528348542516</v>
      </c>
      <c r="AC342" s="38" t="s">
        <v>791</v>
      </c>
      <c r="AD342">
        <f t="shared" si="41"/>
        <v>6.6948009969127202</v>
      </c>
    </row>
    <row r="343" spans="2:30" x14ac:dyDescent="0.3">
      <c r="B343" s="38" t="s">
        <v>392</v>
      </c>
      <c r="C343">
        <f t="shared" si="40"/>
        <v>6.5915728083621659</v>
      </c>
      <c r="AC343" s="38" t="s">
        <v>792</v>
      </c>
      <c r="AD343">
        <f t="shared" si="41"/>
        <v>6.5332783568574966</v>
      </c>
    </row>
    <row r="344" spans="2:30" x14ac:dyDescent="0.3">
      <c r="B344" s="38" t="s">
        <v>393</v>
      </c>
      <c r="C344">
        <f t="shared" si="40"/>
        <v>6.4122852518005296</v>
      </c>
      <c r="AC344" s="38" t="s">
        <v>793</v>
      </c>
      <c r="AD344">
        <f t="shared" si="41"/>
        <v>6.3420740984747983</v>
      </c>
    </row>
    <row r="345" spans="2:30" x14ac:dyDescent="0.3">
      <c r="B345" s="38" t="s">
        <v>394</v>
      </c>
      <c r="C345">
        <f t="shared" si="40"/>
        <v>6.2036399987847348</v>
      </c>
      <c r="AC345" s="38" t="s">
        <v>794</v>
      </c>
      <c r="AD345">
        <f t="shared" si="41"/>
        <v>6.1206827532366734</v>
      </c>
    </row>
    <row r="346" spans="2:30" x14ac:dyDescent="0.3">
      <c r="B346" s="38" t="s">
        <v>395</v>
      </c>
      <c r="C346">
        <f t="shared" si="40"/>
        <v>5.9639192693471639</v>
      </c>
      <c r="AC346" s="38" t="s">
        <v>795</v>
      </c>
      <c r="AD346">
        <f t="shared" si="41"/>
        <v>5.8678188543944145</v>
      </c>
    </row>
    <row r="347" spans="2:30" x14ac:dyDescent="0.3">
      <c r="B347" s="38" t="s">
        <v>396</v>
      </c>
      <c r="C347">
        <f t="shared" si="40"/>
        <v>5.6945030051871104</v>
      </c>
      <c r="AC347" s="38" t="s">
        <v>796</v>
      </c>
      <c r="AD347">
        <f t="shared" si="41"/>
        <v>5.5857591406735967</v>
      </c>
    </row>
    <row r="348" spans="2:30" x14ac:dyDescent="0.3">
      <c r="B348" s="38" t="s">
        <v>397</v>
      </c>
      <c r="C348">
        <f t="shared" si="40"/>
        <v>5.39373247476912</v>
      </c>
      <c r="AC348" s="38" t="s">
        <v>797</v>
      </c>
      <c r="AD348">
        <f t="shared" si="41"/>
        <v>5.2734992427773131</v>
      </c>
    </row>
    <row r="349" spans="2:30" x14ac:dyDescent="0.3">
      <c r="B349" s="38" t="s">
        <v>398</v>
      </c>
      <c r="C349">
        <f t="shared" si="40"/>
        <v>5.0489781420169209</v>
      </c>
      <c r="AC349" s="38" t="s">
        <v>798</v>
      </c>
      <c r="AD349">
        <f t="shared" si="41"/>
        <v>4.9178961901442717</v>
      </c>
    </row>
    <row r="350" spans="2:30" x14ac:dyDescent="0.3">
      <c r="B350" s="38" t="s">
        <v>399</v>
      </c>
      <c r="C350">
        <f t="shared" si="40"/>
        <v>4.6556944169924304</v>
      </c>
      <c r="AC350" s="38" t="s">
        <v>799</v>
      </c>
      <c r="AD350">
        <f t="shared" si="41"/>
        <v>4.5149752554267542</v>
      </c>
    </row>
    <row r="351" spans="2:30" x14ac:dyDescent="0.3">
      <c r="B351" s="38" t="s">
        <v>400</v>
      </c>
      <c r="C351">
        <f t="shared" si="40"/>
        <v>4.2073791541438368</v>
      </c>
      <c r="AC351" s="38" t="s">
        <v>800</v>
      </c>
      <c r="AD351">
        <f t="shared" si="41"/>
        <v>4.0586600471986145</v>
      </c>
    </row>
    <row r="352" spans="2:30" x14ac:dyDescent="0.3">
      <c r="B352" s="38" t="s">
        <v>401</v>
      </c>
      <c r="C352">
        <f t="shared" si="40"/>
        <v>3.7022013628662371</v>
      </c>
      <c r="AC352" s="38" t="s">
        <v>801</v>
      </c>
      <c r="AD352">
        <f t="shared" si="41"/>
        <v>3.5479013615614412</v>
      </c>
    </row>
    <row r="353" spans="2:30" x14ac:dyDescent="0.3">
      <c r="B353" s="38" t="s">
        <v>402</v>
      </c>
      <c r="C353">
        <f t="shared" si="40"/>
        <v>3.1540414007235795</v>
      </c>
      <c r="AC353" s="38" t="s">
        <v>802</v>
      </c>
      <c r="AD353">
        <f t="shared" si="41"/>
        <v>2.9985185327850741</v>
      </c>
    </row>
    <row r="354" spans="2:30" x14ac:dyDescent="0.3">
      <c r="B354" s="38" t="s">
        <v>403</v>
      </c>
      <c r="C354">
        <f t="shared" si="40"/>
        <v>2.5832529318835724</v>
      </c>
      <c r="AC354" s="38" t="s">
        <v>803</v>
      </c>
      <c r="AD354">
        <f t="shared" si="41"/>
        <v>2.4325274401263504</v>
      </c>
    </row>
    <row r="355" spans="2:30" x14ac:dyDescent="0.3">
      <c r="B355" s="38" t="s">
        <v>404</v>
      </c>
      <c r="C355">
        <f t="shared" si="40"/>
        <v>1.7723361870567185</v>
      </c>
      <c r="AC355" s="38" t="s">
        <v>804</v>
      </c>
      <c r="AD355">
        <f t="shared" si="41"/>
        <v>1.6382881903535005</v>
      </c>
    </row>
    <row r="356" spans="2:30" x14ac:dyDescent="0.3">
      <c r="B356" s="38" t="s">
        <v>405</v>
      </c>
      <c r="C356">
        <f t="shared" ref="C356:C371" si="42">Y4*(1+disc)^-22</f>
        <v>6.6155810096597598</v>
      </c>
      <c r="AC356" s="38" t="s">
        <v>805</v>
      </c>
      <c r="AD356">
        <f t="shared" ref="AD356:AD371" si="43">AZ4*(1+disc)^-22</f>
        <v>6.5833009162360572</v>
      </c>
    </row>
    <row r="357" spans="2:30" x14ac:dyDescent="0.3">
      <c r="B357" s="38" t="s">
        <v>406</v>
      </c>
      <c r="C357">
        <f t="shared" si="42"/>
        <v>6.539326228449271</v>
      </c>
      <c r="AC357" s="38" t="s">
        <v>806</v>
      </c>
      <c r="AD357">
        <f t="shared" si="43"/>
        <v>6.5024427490671695</v>
      </c>
    </row>
    <row r="358" spans="2:30" x14ac:dyDescent="0.3">
      <c r="B358" s="38" t="s">
        <v>407</v>
      </c>
      <c r="C358">
        <f t="shared" si="42"/>
        <v>6.4260116080381833</v>
      </c>
      <c r="AC358" s="38" t="s">
        <v>807</v>
      </c>
      <c r="AD358">
        <f t="shared" si="43"/>
        <v>6.3810848372186566</v>
      </c>
    </row>
    <row r="359" spans="2:30" x14ac:dyDescent="0.3">
      <c r="B359" s="38" t="s">
        <v>408</v>
      </c>
      <c r="C359">
        <f t="shared" si="42"/>
        <v>6.2832898151716687</v>
      </c>
      <c r="AC359" s="38" t="s">
        <v>808</v>
      </c>
      <c r="AD359">
        <f t="shared" si="43"/>
        <v>6.2283149918024661</v>
      </c>
    </row>
    <row r="360" spans="2:30" x14ac:dyDescent="0.3">
      <c r="B360" s="38" t="s">
        <v>409</v>
      </c>
      <c r="C360">
        <f t="shared" si="42"/>
        <v>6.1135753557115242</v>
      </c>
      <c r="AC360" s="38" t="s">
        <v>809</v>
      </c>
      <c r="AD360">
        <f t="shared" si="43"/>
        <v>6.0473392784338582</v>
      </c>
    </row>
    <row r="361" spans="2:30" x14ac:dyDescent="0.3">
      <c r="B361" s="38" t="s">
        <v>410</v>
      </c>
      <c r="C361">
        <f t="shared" si="42"/>
        <v>5.9157752071628114</v>
      </c>
      <c r="AC361" s="38" t="s">
        <v>810</v>
      </c>
      <c r="AD361">
        <f t="shared" si="43"/>
        <v>5.8374649740544609</v>
      </c>
    </row>
    <row r="362" spans="2:30" x14ac:dyDescent="0.3">
      <c r="B362" s="38" t="s">
        <v>411</v>
      </c>
      <c r="C362">
        <f t="shared" si="42"/>
        <v>5.6880803349651501</v>
      </c>
      <c r="AC362" s="38" t="s">
        <v>811</v>
      </c>
      <c r="AD362">
        <f t="shared" si="43"/>
        <v>5.5972753249071445</v>
      </c>
    </row>
    <row r="363" spans="2:30" x14ac:dyDescent="0.3">
      <c r="B363" s="38" t="s">
        <v>412</v>
      </c>
      <c r="C363">
        <f t="shared" si="42"/>
        <v>5.4316781549294486</v>
      </c>
      <c r="AC363" s="38" t="s">
        <v>812</v>
      </c>
      <c r="AD363">
        <f t="shared" si="43"/>
        <v>5.3288004752471112</v>
      </c>
    </row>
    <row r="364" spans="2:30" x14ac:dyDescent="0.3">
      <c r="B364" s="38" t="s">
        <v>413</v>
      </c>
      <c r="C364">
        <f t="shared" si="42"/>
        <v>5.1449718707290319</v>
      </c>
      <c r="AC364" s="38" t="s">
        <v>813</v>
      </c>
      <c r="AD364">
        <f t="shared" si="43"/>
        <v>5.0310677843985605</v>
      </c>
    </row>
    <row r="365" spans="2:30" x14ac:dyDescent="0.3">
      <c r="B365" s="38" t="s">
        <v>414</v>
      </c>
      <c r="C365">
        <f t="shared" si="42"/>
        <v>4.8161801247686951</v>
      </c>
      <c r="AC365" s="38" t="s">
        <v>814</v>
      </c>
      <c r="AD365">
        <f t="shared" si="43"/>
        <v>4.6918369098580008</v>
      </c>
    </row>
    <row r="366" spans="2:30" x14ac:dyDescent="0.3">
      <c r="B366" s="38" t="s">
        <v>415</v>
      </c>
      <c r="C366">
        <f t="shared" si="42"/>
        <v>4.4410465670572883</v>
      </c>
      <c r="AC366" s="38" t="s">
        <v>815</v>
      </c>
      <c r="AD366">
        <f t="shared" si="43"/>
        <v>4.3074047740082877</v>
      </c>
    </row>
    <row r="367" spans="2:30" x14ac:dyDescent="0.3">
      <c r="B367" s="38" t="s">
        <v>416</v>
      </c>
      <c r="C367">
        <f t="shared" si="42"/>
        <v>4.0134909744599963</v>
      </c>
      <c r="AC367" s="38" t="s">
        <v>816</v>
      </c>
      <c r="AD367">
        <f t="shared" si="43"/>
        <v>3.8721091328072368</v>
      </c>
    </row>
    <row r="368" spans="2:30" x14ac:dyDescent="0.3">
      <c r="B368" s="38" t="s">
        <v>417</v>
      </c>
      <c r="C368">
        <f t="shared" si="42"/>
        <v>3.5318597826264551</v>
      </c>
      <c r="AC368" s="38" t="s">
        <v>817</v>
      </c>
      <c r="AD368">
        <f t="shared" si="43"/>
        <v>3.3850520746656056</v>
      </c>
    </row>
    <row r="369" spans="2:30" x14ac:dyDescent="0.3">
      <c r="B369" s="38" t="s">
        <v>418</v>
      </c>
      <c r="C369">
        <f t="shared" si="42"/>
        <v>3.0093337671608729</v>
      </c>
      <c r="AC369" s="38" t="s">
        <v>818</v>
      </c>
      <c r="AD369">
        <f t="shared" si="43"/>
        <v>2.8612602082236074</v>
      </c>
    </row>
    <row r="370" spans="2:30" x14ac:dyDescent="0.3">
      <c r="B370" s="38" t="s">
        <v>419</v>
      </c>
      <c r="C370">
        <f t="shared" si="42"/>
        <v>2.4652626553277295</v>
      </c>
      <c r="AC370" s="38" t="s">
        <v>819</v>
      </c>
      <c r="AD370">
        <f t="shared" si="43"/>
        <v>2.321667651756524</v>
      </c>
    </row>
    <row r="371" spans="2:30" x14ac:dyDescent="0.3">
      <c r="B371" s="38" t="s">
        <v>420</v>
      </c>
      <c r="C371">
        <f t="shared" si="42"/>
        <v>1.6922741248651327</v>
      </c>
      <c r="AC371" s="38" t="s">
        <v>820</v>
      </c>
      <c r="AD371">
        <f t="shared" si="43"/>
        <v>1.5644518070527924</v>
      </c>
    </row>
    <row r="372" spans="2:30" x14ac:dyDescent="0.3">
      <c r="B372" s="38" t="s">
        <v>421</v>
      </c>
      <c r="C372">
        <f t="shared" ref="C372:C387" si="44">Z4*(1+disc)^-23</f>
        <v>6.3039373987252301</v>
      </c>
      <c r="AC372" s="38" t="s">
        <v>821</v>
      </c>
      <c r="AD372">
        <f t="shared" ref="AD372:AD387" si="45">BA4*(1+disc)^-23</f>
        <v>6.2735500257972223</v>
      </c>
    </row>
    <row r="373" spans="2:30" x14ac:dyDescent="0.3">
      <c r="B373" s="38" t="s">
        <v>422</v>
      </c>
      <c r="C373">
        <f t="shared" si="44"/>
        <v>6.2316177130706158</v>
      </c>
      <c r="AC373" s="38" t="s">
        <v>822</v>
      </c>
      <c r="AD373">
        <f t="shared" si="45"/>
        <v>6.196861658735819</v>
      </c>
    </row>
    <row r="374" spans="2:30" x14ac:dyDescent="0.3">
      <c r="B374" s="38" t="s">
        <v>423</v>
      </c>
      <c r="C374">
        <f t="shared" si="44"/>
        <v>6.1244312158495742</v>
      </c>
      <c r="AC374" s="38" t="s">
        <v>823</v>
      </c>
      <c r="AD374">
        <f t="shared" si="45"/>
        <v>6.0820804528280776</v>
      </c>
    </row>
    <row r="375" spans="2:30" x14ac:dyDescent="0.3">
      <c r="B375" s="38" t="s">
        <v>424</v>
      </c>
      <c r="C375">
        <f t="shared" si="44"/>
        <v>5.9894358385690127</v>
      </c>
      <c r="AC375" s="38" t="s">
        <v>824</v>
      </c>
      <c r="AD375">
        <f t="shared" si="45"/>
        <v>5.9375996505285924</v>
      </c>
    </row>
    <row r="376" spans="2:30" x14ac:dyDescent="0.3">
      <c r="B376" s="38" t="s">
        <v>425</v>
      </c>
      <c r="C376">
        <f t="shared" si="44"/>
        <v>5.8287926704947601</v>
      </c>
      <c r="AC376" s="38" t="s">
        <v>825</v>
      </c>
      <c r="AD376">
        <f t="shared" si="45"/>
        <v>5.7663158708625941</v>
      </c>
    </row>
    <row r="377" spans="2:30" x14ac:dyDescent="0.3">
      <c r="B377" s="38" t="s">
        <v>426</v>
      </c>
      <c r="C377">
        <f t="shared" si="44"/>
        <v>5.6412810745706814</v>
      </c>
      <c r="AC377" s="38" t="s">
        <v>826</v>
      </c>
      <c r="AD377">
        <f t="shared" si="45"/>
        <v>5.5673674637742492</v>
      </c>
    </row>
    <row r="378" spans="2:30" x14ac:dyDescent="0.3">
      <c r="B378" s="38" t="s">
        <v>427</v>
      </c>
      <c r="C378">
        <f t="shared" si="44"/>
        <v>5.4250127138443904</v>
      </c>
      <c r="AC378" s="38" t="s">
        <v>827</v>
      </c>
      <c r="AD378">
        <f t="shared" si="45"/>
        <v>5.3392210182796722</v>
      </c>
    </row>
    <row r="379" spans="2:30" x14ac:dyDescent="0.3">
      <c r="B379" s="38" t="s">
        <v>428</v>
      </c>
      <c r="C379">
        <f t="shared" si="44"/>
        <v>5.1809971433987565</v>
      </c>
      <c r="AC379" s="38" t="s">
        <v>828</v>
      </c>
      <c r="AD379">
        <f t="shared" si="45"/>
        <v>5.0836777466364111</v>
      </c>
    </row>
    <row r="380" spans="2:30" x14ac:dyDescent="0.3">
      <c r="B380" s="38" t="s">
        <v>429</v>
      </c>
      <c r="C380">
        <f t="shared" si="44"/>
        <v>4.9076973904019239</v>
      </c>
      <c r="AC380" s="38" t="s">
        <v>829</v>
      </c>
      <c r="AD380">
        <f t="shared" si="45"/>
        <v>4.7997960445471861</v>
      </c>
    </row>
    <row r="381" spans="2:30" x14ac:dyDescent="0.3">
      <c r="B381" s="38" t="s">
        <v>430</v>
      </c>
      <c r="C381">
        <f t="shared" si="44"/>
        <v>4.5941289568060881</v>
      </c>
      <c r="AC381" s="38" t="s">
        <v>830</v>
      </c>
      <c r="AD381">
        <f t="shared" si="45"/>
        <v>4.4761830606872985</v>
      </c>
    </row>
    <row r="382" spans="2:30" x14ac:dyDescent="0.3">
      <c r="B382" s="38" t="s">
        <v>431</v>
      </c>
      <c r="C382">
        <f t="shared" si="44"/>
        <v>4.2363078278283472</v>
      </c>
      <c r="AC382" s="38" t="s">
        <v>831</v>
      </c>
      <c r="AD382">
        <f t="shared" si="45"/>
        <v>4.1093909266938109</v>
      </c>
    </row>
    <row r="383" spans="2:30" x14ac:dyDescent="0.3">
      <c r="B383" s="38" t="s">
        <v>432</v>
      </c>
      <c r="C383">
        <f t="shared" si="44"/>
        <v>3.8285506828843778</v>
      </c>
      <c r="AC383" s="38" t="s">
        <v>832</v>
      </c>
      <c r="AD383">
        <f t="shared" si="45"/>
        <v>3.6941463907361465</v>
      </c>
    </row>
    <row r="384" spans="2:30" x14ac:dyDescent="0.3">
      <c r="B384" s="38" t="s">
        <v>433</v>
      </c>
      <c r="C384">
        <f t="shared" si="44"/>
        <v>3.3693688395521435</v>
      </c>
      <c r="AC384" s="38" t="s">
        <v>833</v>
      </c>
      <c r="AD384">
        <f t="shared" si="45"/>
        <v>3.2296910382305706</v>
      </c>
    </row>
    <row r="385" spans="2:30" x14ac:dyDescent="0.3">
      <c r="B385" s="38" t="s">
        <v>434</v>
      </c>
      <c r="C385">
        <f t="shared" si="44"/>
        <v>2.871278502972193</v>
      </c>
      <c r="AC385" s="38" t="s">
        <v>834</v>
      </c>
      <c r="AD385">
        <f t="shared" si="45"/>
        <v>2.7302982073853332</v>
      </c>
    </row>
    <row r="386" spans="2:30" x14ac:dyDescent="0.3">
      <c r="B386" s="38" t="s">
        <v>435</v>
      </c>
      <c r="C386">
        <f t="shared" si="44"/>
        <v>2.3526747509038946</v>
      </c>
      <c r="AC386" s="38" t="s">
        <v>835</v>
      </c>
      <c r="AD386">
        <f t="shared" si="45"/>
        <v>2.2158731594321806</v>
      </c>
    </row>
    <row r="387" spans="2:30" x14ac:dyDescent="0.3">
      <c r="B387" s="38" t="s">
        <v>436</v>
      </c>
      <c r="C387">
        <f t="shared" si="44"/>
        <v>1.6158414976807922</v>
      </c>
      <c r="AC387" s="38" t="s">
        <v>836</v>
      </c>
      <c r="AD387">
        <f t="shared" si="45"/>
        <v>1.4939554602204592</v>
      </c>
    </row>
    <row r="388" spans="2:30" x14ac:dyDescent="0.3">
      <c r="B388" s="38" t="s">
        <v>437</v>
      </c>
      <c r="C388">
        <f t="shared" ref="C388:C403" si="46">AA4*(1+disc)^-24</f>
        <v>6.0065641908969267</v>
      </c>
      <c r="AC388" s="38" t="s">
        <v>837</v>
      </c>
      <c r="AD388">
        <f t="shared" ref="AD388:AD403" si="47">BB4*(1+disc)^-24</f>
        <v>5.977913849623147</v>
      </c>
    </row>
    <row r="389" spans="2:30" x14ac:dyDescent="0.3">
      <c r="B389" s="38" t="s">
        <v>438</v>
      </c>
      <c r="C389">
        <f t="shared" si="46"/>
        <v>5.9379483184202053</v>
      </c>
      <c r="AC389" s="38" t="s">
        <v>838</v>
      </c>
      <c r="AD389">
        <f t="shared" si="47"/>
        <v>5.9051495209599274</v>
      </c>
    </row>
    <row r="390" spans="2:30" x14ac:dyDescent="0.3">
      <c r="B390" s="38" t="s">
        <v>439</v>
      </c>
      <c r="C390">
        <f t="shared" si="46"/>
        <v>5.8364850712852814</v>
      </c>
      <c r="AC390" s="38" t="s">
        <v>839</v>
      </c>
      <c r="AD390">
        <f t="shared" si="47"/>
        <v>5.7965070215194219</v>
      </c>
    </row>
    <row r="391" spans="2:30" x14ac:dyDescent="0.3">
      <c r="B391" s="38" t="s">
        <v>440</v>
      </c>
      <c r="C391">
        <f t="shared" si="46"/>
        <v>5.7087086875450739</v>
      </c>
      <c r="AC391" s="38" t="s">
        <v>840</v>
      </c>
      <c r="AD391">
        <f t="shared" si="47"/>
        <v>5.6597664566723429</v>
      </c>
    </row>
    <row r="392" spans="2:30" x14ac:dyDescent="0.3">
      <c r="B392" s="38" t="s">
        <v>441</v>
      </c>
      <c r="C392">
        <f t="shared" si="46"/>
        <v>5.5565725715657672</v>
      </c>
      <c r="AC392" s="38" t="s">
        <v>841</v>
      </c>
      <c r="AD392">
        <f t="shared" si="47"/>
        <v>5.4975675932608326</v>
      </c>
    </row>
    <row r="393" spans="2:30" x14ac:dyDescent="0.3">
      <c r="B393" s="38" t="s">
        <v>442</v>
      </c>
      <c r="C393">
        <f t="shared" si="46"/>
        <v>5.3787746422748954</v>
      </c>
      <c r="AC393" s="38" t="s">
        <v>842</v>
      </c>
      <c r="AD393">
        <f t="shared" si="47"/>
        <v>5.3089326608112168</v>
      </c>
    </row>
    <row r="394" spans="2:30" x14ac:dyDescent="0.3">
      <c r="B394" s="38" t="s">
        <v>443</v>
      </c>
      <c r="C394">
        <f t="shared" si="46"/>
        <v>5.1733840196898999</v>
      </c>
      <c r="AC394" s="38" t="s">
        <v>843</v>
      </c>
      <c r="AD394">
        <f t="shared" si="47"/>
        <v>5.0922535360203982</v>
      </c>
    </row>
    <row r="395" spans="2:30" x14ac:dyDescent="0.3">
      <c r="B395" s="38" t="s">
        <v>444</v>
      </c>
      <c r="C395">
        <f t="shared" si="46"/>
        <v>4.9412526827715224</v>
      </c>
      <c r="AC395" s="38" t="s">
        <v>844</v>
      </c>
      <c r="AD395">
        <f t="shared" si="47"/>
        <v>4.8491256740127779</v>
      </c>
    </row>
    <row r="396" spans="2:30" x14ac:dyDescent="0.3">
      <c r="B396" s="38" t="s">
        <v>445</v>
      </c>
      <c r="C396">
        <f t="shared" si="46"/>
        <v>4.6808901347641454</v>
      </c>
      <c r="AC396" s="38" t="s">
        <v>845</v>
      </c>
      <c r="AD396">
        <f t="shared" si="47"/>
        <v>4.5786246508977415</v>
      </c>
    </row>
    <row r="397" spans="2:30" x14ac:dyDescent="0.3">
      <c r="B397" s="38" t="s">
        <v>446</v>
      </c>
      <c r="C397">
        <f t="shared" si="46"/>
        <v>4.3820244466172253</v>
      </c>
      <c r="AC397" s="38" t="s">
        <v>846</v>
      </c>
      <c r="AD397">
        <f t="shared" si="47"/>
        <v>4.2701128205916197</v>
      </c>
    </row>
    <row r="398" spans="2:30" x14ac:dyDescent="0.3">
      <c r="B398" s="38" t="s">
        <v>447</v>
      </c>
      <c r="C398">
        <f t="shared" si="46"/>
        <v>4.0409050318823567</v>
      </c>
      <c r="AC398" s="38" t="s">
        <v>847</v>
      </c>
      <c r="AD398">
        <f t="shared" si="47"/>
        <v>3.9203565422618012</v>
      </c>
    </row>
    <row r="399" spans="2:30" x14ac:dyDescent="0.3">
      <c r="B399" s="38" t="s">
        <v>448</v>
      </c>
      <c r="C399">
        <f t="shared" si="46"/>
        <v>3.6521849829996316</v>
      </c>
      <c r="AC399" s="38" t="s">
        <v>848</v>
      </c>
      <c r="AD399">
        <f t="shared" si="47"/>
        <v>3.5244073021768894</v>
      </c>
    </row>
    <row r="400" spans="2:30" x14ac:dyDescent="0.3">
      <c r="B400" s="38" t="s">
        <v>449</v>
      </c>
      <c r="C400">
        <f t="shared" si="46"/>
        <v>3.214504450733068</v>
      </c>
      <c r="AC400" s="38" t="s">
        <v>849</v>
      </c>
      <c r="AD400">
        <f t="shared" si="47"/>
        <v>3.0816090676321273</v>
      </c>
    </row>
    <row r="401" spans="2:30" x14ac:dyDescent="0.3">
      <c r="B401" s="38" t="s">
        <v>450</v>
      </c>
      <c r="C401">
        <f t="shared" si="46"/>
        <v>2.7397287595800677</v>
      </c>
      <c r="AC401" s="38" t="s">
        <v>850</v>
      </c>
      <c r="AD401">
        <f t="shared" si="47"/>
        <v>2.6054985732682145</v>
      </c>
    </row>
    <row r="402" spans="2:30" x14ac:dyDescent="0.3">
      <c r="B402" s="38" t="s">
        <v>451</v>
      </c>
      <c r="C402">
        <f t="shared" si="46"/>
        <v>2.2454088018233498</v>
      </c>
      <c r="AC402" s="38" t="s">
        <v>851</v>
      </c>
      <c r="AD402">
        <f t="shared" si="47"/>
        <v>2.1150713691791729</v>
      </c>
    </row>
    <row r="403" spans="2:30" x14ac:dyDescent="0.3">
      <c r="B403" s="39" t="s">
        <v>452</v>
      </c>
      <c r="C403">
        <f t="shared" si="46"/>
        <v>1.543123763319602</v>
      </c>
      <c r="AC403" s="39" t="s">
        <v>852</v>
      </c>
      <c r="AD403">
        <f t="shared" si="47"/>
        <v>1.4268913081914967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VALUES</vt:lpstr>
      <vt:lpstr>LE_BRA</vt:lpstr>
      <vt:lpstr>LE_IND</vt:lpstr>
      <vt:lpstr>LE_ZAF</vt:lpstr>
      <vt:lpstr>BRA_cet_high</vt:lpstr>
      <vt:lpstr>BRA_cet_low</vt:lpstr>
      <vt:lpstr>BRA_disc</vt:lpstr>
      <vt:lpstr>BRA_disc_factor</vt:lpstr>
      <vt:lpstr>disc</vt:lpstr>
      <vt:lpstr>disc_factor</vt:lpstr>
      <vt:lpstr>IND_cet_high</vt:lpstr>
      <vt:lpstr>IND_cet_low</vt:lpstr>
      <vt:lpstr>IND_disc</vt:lpstr>
      <vt:lpstr>IND_disc_factor</vt:lpstr>
      <vt:lpstr>ZAF_cet_high</vt:lpstr>
      <vt:lpstr>ZAF_cet_low</vt:lpstr>
      <vt:lpstr>ZAF_disc</vt:lpstr>
      <vt:lpstr>ZAF_disc_factor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Harker</dc:creator>
  <cp:lastModifiedBy>Martin Harker</cp:lastModifiedBy>
  <dcterms:created xsi:type="dcterms:W3CDTF">2024-12-13T10:51:50Z</dcterms:created>
  <dcterms:modified xsi:type="dcterms:W3CDTF">2026-05-19T03:49:48Z</dcterms:modified>
</cp:coreProperties>
</file>